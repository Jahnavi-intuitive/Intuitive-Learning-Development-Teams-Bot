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22094FAE-3D93-4C15-98E4-5052CAD6643F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Responses" sheetId="1" r:id="rId1"/>
    <sheet name="Certification Register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3" l="1"/>
  <c r="K15" i="3"/>
  <c r="M5" i="3"/>
  <c r="D5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L17" i="3"/>
  <c r="L16" i="3"/>
  <c r="L15" i="3"/>
  <c r="K17" i="3"/>
  <c r="E20" i="3"/>
  <c r="E19" i="3"/>
  <c r="E18" i="3"/>
  <c r="E17" i="3"/>
  <c r="E16" i="3"/>
  <c r="E15" i="3"/>
  <c r="J5" i="3" a="1"/>
  <c r="J5" i="3"/>
  <c r="G5" i="3"/>
  <c r="D9" i="3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<sst xmlns="http://schemas.openxmlformats.org/spreadsheetml/2006/main" count="1259" uniqueCount="417">
  <si>
    <t>Id</t>
  </si>
  <si>
    <t>Start time</t>
  </si>
  <si>
    <t>Completion time</t>
  </si>
  <si>
    <t>Email</t>
  </si>
  <si>
    <t>Name</t>
  </si>
  <si>
    <t>Full legal name as per your AWS Certificate</t>
  </si>
  <si>
    <t>Intuitive email address</t>
  </si>
  <si>
    <t>Which AWS certifications have you completed?</t>
  </si>
  <si>
    <t>Certification level</t>
  </si>
  <si>
    <t>Certification date</t>
  </si>
  <si>
    <t>Certification expiry date</t>
  </si>
  <si>
    <t>Which AWS certifications have you completed?1</t>
  </si>
  <si>
    <t>Practice</t>
  </si>
  <si>
    <t>Practice Director</t>
  </si>
  <si>
    <t>Geography</t>
  </si>
  <si>
    <t>Which describes your AWS certification account today?</t>
  </si>
  <si>
    <t>Personal email holding your certifications</t>
  </si>
  <si>
    <t>AWS Certification Candidate ID</t>
  </si>
  <si>
    <t>Have you given consent in AWS Skill Builder to share your certifications with the company?</t>
  </si>
  <si>
    <t>Candidate ID on your second account</t>
  </si>
  <si>
    <t>Certification account email changed to Intuitive?</t>
  </si>
  <si>
    <t>Partner Central Training and Certification email updated?</t>
  </si>
  <si>
    <t>AWS merge case raised?</t>
  </si>
  <si>
    <t>AWS support case number</t>
  </si>
  <si>
    <t>Partner Alliance contacted for a new invitation?</t>
  </si>
  <si>
    <t>What you are unsure about</t>
  </si>
  <si>
    <t>Ampil.Verma@intuitive.AI</t>
  </si>
  <si>
    <t>Ampil Verma</t>
  </si>
  <si>
    <t>ampil.verma@intuitive.ai</t>
  </si>
  <si>
    <t>Associate</t>
  </si>
  <si>
    <t>AWS Certified Cloud Practitioner</t>
  </si>
  <si>
    <t>A - Certifications under a personal email only</t>
  </si>
  <si>
    <t>No, not yet</t>
  </si>
  <si>
    <t>Not started</t>
  </si>
  <si>
    <t>Aditya.Desai@intuitive.AI</t>
  </si>
  <si>
    <t>Aditya Desai</t>
  </si>
  <si>
    <t>aditya.desai@intuitive.ai</t>
  </si>
  <si>
    <t>Foundation</t>
  </si>
  <si>
    <t>B - Already under Intuitive email and associated in Partner Central</t>
  </si>
  <si>
    <t>AWS05675016</t>
  </si>
  <si>
    <t>Yes, consent given</t>
  </si>
  <si>
    <t>Harsh.Kharwar@intuitive.AI</t>
  </si>
  <si>
    <t>Harsh Kharwar</t>
  </si>
  <si>
    <t>harsh.kharwar@intuitive.ai</t>
  </si>
  <si>
    <t>AWS05696884</t>
  </si>
  <si>
    <t>Het.Shah@intuitive.AI</t>
  </si>
  <si>
    <t>Het Shah</t>
  </si>
  <si>
    <t>Het.shah@intuitive.ai</t>
  </si>
  <si>
    <t>Associate;Professional</t>
  </si>
  <si>
    <t>AWS Certified Solutions Architect – Associate;AWS Certified Solutions Architect – Professional</t>
  </si>
  <si>
    <t>AWS05850512</t>
  </si>
  <si>
    <t>Gourab.Banerjee@Intuitive.AI</t>
  </si>
  <si>
    <t>Gourab Banerjee</t>
  </si>
  <si>
    <t>gourab.banerjee@intuitive.ai</t>
  </si>
  <si>
    <t>gourabbanerjee1994@gmail.com</t>
  </si>
  <si>
    <t>AWS05211917</t>
  </si>
  <si>
    <t>AWS06166624</t>
  </si>
  <si>
    <t>Blocked</t>
  </si>
  <si>
    <t>Kenil.Sarang@intuitive.AI</t>
  </si>
  <si>
    <t>Kenil Sarang</t>
  </si>
  <si>
    <t>kenil.sarang@intuitive.ai</t>
  </si>
  <si>
    <t>AWS05692298</t>
  </si>
  <si>
    <t>Jigarkumar.Bhoye@intuitive.AI</t>
  </si>
  <si>
    <t>Jigarkumar Bhoye</t>
  </si>
  <si>
    <t>jigarkumar.bhoye@intuitive.ai</t>
  </si>
  <si>
    <t>Foundation;Associate</t>
  </si>
  <si>
    <t>AWS Certified Cloud Practitioner;AWS Certified Solutions Architect – Associate</t>
  </si>
  <si>
    <t>AWS05710653</t>
  </si>
  <si>
    <t>peter.turner@intuitive.ai</t>
  </si>
  <si>
    <t>Peter Turner</t>
  </si>
  <si>
    <t>AWS Certified Developer – Associate;AWS Certified Solutions Architect – Associate</t>
  </si>
  <si>
    <t>syntax.valid@gmail.com</t>
  </si>
  <si>
    <t>AWS02917840</t>
  </si>
  <si>
    <t>Completed</t>
  </si>
  <si>
    <t>Parth.Vadodaria@intuitive.AI</t>
  </si>
  <si>
    <t>Parth Vadodaria</t>
  </si>
  <si>
    <t>parth.vadodaria@intuitive.ai</t>
  </si>
  <si>
    <t>AWS05696846</t>
  </si>
  <si>
    <t>Liang.Ren@intuitive.AI</t>
  </si>
  <si>
    <t>Liang Ren</t>
  </si>
  <si>
    <t>liang.ren@intuitive.ai</t>
  </si>
  <si>
    <t>Specialty</t>
  </si>
  <si>
    <t>AWS Certified Security – Specialty</t>
  </si>
  <si>
    <t>liang.ren.ca@gmail.com</t>
  </si>
  <si>
    <t>9436c9415f744791999e245377a7ac56</t>
  </si>
  <si>
    <t>Dhairya.S@intuitive.AI</t>
  </si>
  <si>
    <t>Dhairya S</t>
  </si>
  <si>
    <t>Dhairya Shah</t>
  </si>
  <si>
    <t>dhairya.s@intuitive.ai</t>
  </si>
  <si>
    <t>AWS Certified Cloud Practitioner;AWS Certified AI Practitioner;AWS Certified Solutions Architect – Associate;AWS Certified Developer – Associate</t>
  </si>
  <si>
    <t>hello@dhairyashah.dev</t>
  </si>
  <si>
    <t>AWS05683097</t>
  </si>
  <si>
    <t>Khushi.Carpenter@intuitive.ai</t>
  </si>
  <si>
    <t>Khushi Carpenter</t>
  </si>
  <si>
    <t>khushi.carpenter@intuitive.ai</t>
  </si>
  <si>
    <t>Foundation;Associate;Professional</t>
  </si>
  <si>
    <t>AWS Certified Cloud Practitioner;AWS Certified Solutions Architect – Associate;AWS Certified Solutions Architect – Professional</t>
  </si>
  <si>
    <t>vishal.kanade@intuitive.ai</t>
  </si>
  <si>
    <t>Vishal Kanade</t>
  </si>
  <si>
    <t>AWS Certified AI Practitioner;AWS Certified Solutions Architect – Associate;AWS Certified Data Engineer – Associate</t>
  </si>
  <si>
    <t>vishalkanade700@gmail.com</t>
  </si>
  <si>
    <t>Hari.Baskar@intuitive.ai</t>
  </si>
  <si>
    <t>Hari Baskar</t>
  </si>
  <si>
    <t>Haribaskar D</t>
  </si>
  <si>
    <t>hari.baskar@intuitive.ai</t>
  </si>
  <si>
    <t>AWS Certified Solutions Architect – Associate</t>
  </si>
  <si>
    <t>c108eea016724f08a1c2f02b5b36e0b8</t>
  </si>
  <si>
    <t>Nicolas.David@intuitive.AI</t>
  </si>
  <si>
    <t>Nicolas David</t>
  </si>
  <si>
    <t>Nicolas Benjamin David</t>
  </si>
  <si>
    <t>nicolas.david@intuitive.ai</t>
  </si>
  <si>
    <t>Foundation;Associate;Professional;Specialty</t>
  </si>
  <si>
    <t>AWS Certified AI Practitioner;AWS Certified Solutions Architect – Associate;AWS Certified Developer – Associate;AWS Certified Solutions Architect – Professional;AWS Certified DevOps Engineer – Professional;AWS Certified Security – Specialty;AWS Certified CloudOps Engineer – Associate;Other (Please specify)</t>
  </si>
  <si>
    <t>nicolas.david@anamor.ph</t>
  </si>
  <si>
    <t>Arvind.Raj@Intuitive.AI</t>
  </si>
  <si>
    <t>Arvind Raj</t>
  </si>
  <si>
    <t>arvind.raj@intuitive.ai</t>
  </si>
  <si>
    <t>arvindraj3650@gmail.com</t>
  </si>
  <si>
    <t>7589eaa5c7674f9ea7ebcdc5051b2199</t>
  </si>
  <si>
    <t>AWS03645046</t>
  </si>
  <si>
    <t>Poojan.Soni@intuitive.ai</t>
  </si>
  <si>
    <t>Poojan Soni</t>
  </si>
  <si>
    <t>Poojan Pritin Soni</t>
  </si>
  <si>
    <t>poojan.soni@intuitive.ai</t>
  </si>
  <si>
    <t>Sanjay.Kulgod@intuitive.AI</t>
  </si>
  <si>
    <t>Sanjay Kulgod</t>
  </si>
  <si>
    <t>sanjay.kulgod@intuitive.ai</t>
  </si>
  <si>
    <t>Professional</t>
  </si>
  <si>
    <t xml:space="preserve">skulgod@yahoo.com </t>
  </si>
  <si>
    <t>483223797 (exm Id - Solution Sarch Prof - have the badge)</t>
  </si>
  <si>
    <t>Girish.VenkataReddy@intuitive.ai</t>
  </si>
  <si>
    <t>Girish VenkataReddy</t>
  </si>
  <si>
    <t>Girish Venkata Reddy</t>
  </si>
  <si>
    <t>girish.venkatareddy@intuitive.ai</t>
  </si>
  <si>
    <t>venkatareddygirish@gmail.com</t>
  </si>
  <si>
    <t>AWS04058060</t>
  </si>
  <si>
    <t>Sri.Kiran@intuitive.AI</t>
  </si>
  <si>
    <t>Sri Kiran</t>
  </si>
  <si>
    <t>Sri Kiran Kanchibhotla</t>
  </si>
  <si>
    <t>sri.kiran@intuitive.ai</t>
  </si>
  <si>
    <t>Other (Please specify)</t>
  </si>
  <si>
    <t>suyash.srivastava@Intuitive.AI</t>
  </si>
  <si>
    <t>Suyansh Srivastava</t>
  </si>
  <si>
    <t>Suyash Srivastava</t>
  </si>
  <si>
    <t>suyash.srivastava@intuitive.ai</t>
  </si>
  <si>
    <t>Vishal.Mehta@intuitive.AI</t>
  </si>
  <si>
    <t>Vishal Mehta</t>
  </si>
  <si>
    <t>vishal.mehta@intuitive.ai</t>
  </si>
  <si>
    <t>AWS Certified AI Practitioner</t>
  </si>
  <si>
    <t>AWS05712822</t>
  </si>
  <si>
    <t>Bhumi.Patel@intuitive.AI</t>
  </si>
  <si>
    <t>Bhumi Patel</t>
  </si>
  <si>
    <t>bhumi.patel@intuitive.ai</t>
  </si>
  <si>
    <t>AWS05692396</t>
  </si>
  <si>
    <t>Yuktha.Pulukkul@intuitive.AI</t>
  </si>
  <si>
    <t>Yuktha Pulukkul</t>
  </si>
  <si>
    <t>yuktha.pulukkul@intuitive.ai</t>
  </si>
  <si>
    <t>AWS05710195</t>
  </si>
  <si>
    <t>Rushi.Kardani@intuitive.AI</t>
  </si>
  <si>
    <t>Rushi Kardani</t>
  </si>
  <si>
    <t>rushi.kardani@intuitive.ai</t>
  </si>
  <si>
    <t>AWS05692236</t>
  </si>
  <si>
    <t>vanshika.bhatia@intuitive.ai</t>
  </si>
  <si>
    <t>Vanshika Bhatia</t>
  </si>
  <si>
    <t xml:space="preserve">Vanshika Bhatia </t>
  </si>
  <si>
    <t>Dhruvi.Soni@intuitive.AI</t>
  </si>
  <si>
    <t>Dhruvi Soni</t>
  </si>
  <si>
    <t>dhruvi.soni@intuitive.ai</t>
  </si>
  <si>
    <t>Faraaz.Bhojawala@intuitive.AI</t>
  </si>
  <si>
    <t>Faraaz Bhojawala</t>
  </si>
  <si>
    <t>faraaz.bhojawala@intuitive.ai</t>
  </si>
  <si>
    <t>AWS06121572</t>
  </si>
  <si>
    <t>Dhruvam.Tandel@intuitive.AI</t>
  </si>
  <si>
    <t>Dhruvam Tandel</t>
  </si>
  <si>
    <t>dhruvam.tandel@intuitive.AI</t>
  </si>
  <si>
    <t>AWS06121567</t>
  </si>
  <si>
    <t>Anmol.Purohit@intuitive.AI</t>
  </si>
  <si>
    <t>Anmol Purohit</t>
  </si>
  <si>
    <t>anmol.purohit@intuitive.ai</t>
  </si>
  <si>
    <t>Chaitanya.Baweja@intuitive.AI</t>
  </si>
  <si>
    <t>Chaitanya Baweja</t>
  </si>
  <si>
    <t>AWS05710205</t>
  </si>
  <si>
    <t>Dhruv.Maradiya@intuitive.AI</t>
  </si>
  <si>
    <t>Dhruv Maradiya</t>
  </si>
  <si>
    <t>dhruv.maradiya@intuitive.ai</t>
  </si>
  <si>
    <t>dhruvmvr@gmail.com</t>
  </si>
  <si>
    <t>AWS05355328</t>
  </si>
  <si>
    <t>Sahal.Pathan@intuitive.AI</t>
  </si>
  <si>
    <t>Sahal Pathan</t>
  </si>
  <si>
    <t>Mohmed Sahal Pathan</t>
  </si>
  <si>
    <t>sahal.pathan@intuitive.ai</t>
  </si>
  <si>
    <t>sahalpathan5601@gmail.com</t>
  </si>
  <si>
    <t>AWS04682992</t>
  </si>
  <si>
    <t>Satvik.Sharma@intuitive.AI</t>
  </si>
  <si>
    <t>Satvik Sharma</t>
  </si>
  <si>
    <t>satvik.sharma@intuitive.ai</t>
  </si>
  <si>
    <t>Malhar.Prajapati@intuitive.AI</t>
  </si>
  <si>
    <t>Malhar Prajapati</t>
  </si>
  <si>
    <t>malhar.prajapati@intuitive.ai</t>
  </si>
  <si>
    <t>Smit.Gandhi@intuitive.AI</t>
  </si>
  <si>
    <t>Smit Gandhi</t>
  </si>
  <si>
    <t>smit.gandhi@intuitive.ai</t>
  </si>
  <si>
    <t>smitgandhi585@gmail.com</t>
  </si>
  <si>
    <t>AWS05674996</t>
  </si>
  <si>
    <t>Prachi.Desai@intuitive.AI</t>
  </si>
  <si>
    <t>Prachi Desai</t>
  </si>
  <si>
    <t>prachi.desai@intuitive.ai</t>
  </si>
  <si>
    <t>prachidesai7708@gmail.com</t>
  </si>
  <si>
    <t>AWS05692267</t>
  </si>
  <si>
    <t>Tulika.Aggarwal@intuitive.AI</t>
  </si>
  <si>
    <t>Tulika Aggarwal</t>
  </si>
  <si>
    <t>tulika.aggarwal@intuitive.ai</t>
  </si>
  <si>
    <t>AWS Certified Data Engineer – Associate</t>
  </si>
  <si>
    <t>tulikaaggarwal07@gmail.com</t>
  </si>
  <si>
    <t>4eb1f1edc7d3459389c0f8318db23d4d</t>
  </si>
  <si>
    <t>Sachit.Desai@intuitive.ai</t>
  </si>
  <si>
    <t>Sachit Desai</t>
  </si>
  <si>
    <t>sachit.desai@intuitive.cloud</t>
  </si>
  <si>
    <t>AWS04946597</t>
  </si>
  <si>
    <t>janhvi.kurkure@Intuitive.AI</t>
  </si>
  <si>
    <t>Janhvi Kurkure</t>
  </si>
  <si>
    <t>janhvi.kurkure@intuitive.ai</t>
  </si>
  <si>
    <t>janhvi.kurkure@gmail.com</t>
  </si>
  <si>
    <t>AWS05810308</t>
  </si>
  <si>
    <t>AWS05162585</t>
  </si>
  <si>
    <t>aditya.prabhune@intuitive.ai</t>
  </si>
  <si>
    <t>Aditya Prabhune</t>
  </si>
  <si>
    <t>22GNN0CK9241Q0G6</t>
  </si>
  <si>
    <t>Tanay.Joshi@intuitive.ai</t>
  </si>
  <si>
    <t>Tanay Joshi</t>
  </si>
  <si>
    <t>tanay.joshi@intuitive.ai</t>
  </si>
  <si>
    <t>Mustafa.Ahmed@intuitive.ai</t>
  </si>
  <si>
    <t>Mustafa Ahmed</t>
  </si>
  <si>
    <t>Mohammed Mustafa Ahmed</t>
  </si>
  <si>
    <t>mustafa.ahmed"s</t>
  </si>
  <si>
    <t>amustafa018@gmail.com</t>
  </si>
  <si>
    <t>AWSS05250878</t>
  </si>
  <si>
    <t>Pavan.Kumar@intuitive.AI</t>
  </si>
  <si>
    <t>Pavan Kumar</t>
  </si>
  <si>
    <t>NO</t>
  </si>
  <si>
    <t xml:space="preserve">I dont have one. I did AWS partner sales accreditation. </t>
  </si>
  <si>
    <t>NA</t>
  </si>
  <si>
    <t>Aniket.Purohit@intuitive.ai</t>
  </si>
  <si>
    <t>Aniket Purohit</t>
  </si>
  <si>
    <t>aniket.purohit@intuitive.ai</t>
  </si>
  <si>
    <t>Associate;Foundation</t>
  </si>
  <si>
    <t>aniket9124@gmail.com</t>
  </si>
  <si>
    <t>In progress</t>
  </si>
  <si>
    <t>Sunil.Bhagat@intuitive.AI</t>
  </si>
  <si>
    <t>Sunil Bhagat</t>
  </si>
  <si>
    <t>Sunil Kumar Bhagat</t>
  </si>
  <si>
    <t>sunil.bhagat@intuitive.ai</t>
  </si>
  <si>
    <t>AWS Certified Cloud Practitioner;AWS Certified Data Engineer – Associate;AWS Certified Developer – Associate;AWS Certified DevOps Engineer – Professional;AWS Certified Machine Learning Engineer – Associate;AWS Certified Solutions Architect – Associate;Other (Please specify)</t>
  </si>
  <si>
    <t>sunilkumar.bhagat494@gmail.com</t>
  </si>
  <si>
    <t>AWS04045550‎</t>
  </si>
  <si>
    <t>Geethu.Raj@intuitive.AI</t>
  </si>
  <si>
    <t>Geethu Raj</t>
  </si>
  <si>
    <t>geethu.raj@intuitive.ai</t>
  </si>
  <si>
    <t>AWS Certified Solutions Architect – Associate;AWS Certified Cloud Practitioner</t>
  </si>
  <si>
    <t>gituraj.6@gmail.com</t>
  </si>
  <si>
    <t>Satish.Kumar@intuitive.ai</t>
  </si>
  <si>
    <t>Satish Kumar</t>
  </si>
  <si>
    <t>satish.kumar@intuitive.ai</t>
  </si>
  <si>
    <t>AWS Certified DevOps Engineer – Professional</t>
  </si>
  <si>
    <t>I had requested Jared about mapping so not sure</t>
  </si>
  <si>
    <t>satishkr95.official@gmail.com</t>
  </si>
  <si>
    <t>Garret.Fernandez@intuitive.AI</t>
  </si>
  <si>
    <t>Garret Fernandez</t>
  </si>
  <si>
    <t>garret.fernandez@intuitive.ai</t>
  </si>
  <si>
    <t>AWS0569749</t>
  </si>
  <si>
    <t>virendra.pathronia@intuitive.ai</t>
  </si>
  <si>
    <t>Virendra Pathronia</t>
  </si>
  <si>
    <t>virendra_pathronia@yahoo.co.in</t>
  </si>
  <si>
    <t>7d80e962-0ded-4436-833c-3a1834b62690</t>
  </si>
  <si>
    <t>Tisha.Patel@intuitive.AI</t>
  </si>
  <si>
    <t>Tisha Patel</t>
  </si>
  <si>
    <t>tisha.patel@intuitive.ai</t>
  </si>
  <si>
    <t>pateltisha0403@gmail.com</t>
  </si>
  <si>
    <t>AWS05805615</t>
  </si>
  <si>
    <t>AWS04928732</t>
  </si>
  <si>
    <t>aryan.vasudev@Intuitive.AI</t>
  </si>
  <si>
    <t>Aryan Vasudev</t>
  </si>
  <si>
    <t>aryan.vasudev@intuitive.ai</t>
  </si>
  <si>
    <t>aryan99vasudev@gmail.com</t>
  </si>
  <si>
    <t>AWS05740279</t>
  </si>
  <si>
    <t>AWS05710695</t>
  </si>
  <si>
    <t>Akshya.Iyer@intuitive.ai</t>
  </si>
  <si>
    <t>Akshya Iyer</t>
  </si>
  <si>
    <t>akshya.iyer@intuitive.ai</t>
  </si>
  <si>
    <t>AWS05276119‎</t>
  </si>
  <si>
    <t>Mansi.Solanki@intuitive.ai</t>
  </si>
  <si>
    <t>Mansi Solanki</t>
  </si>
  <si>
    <t>mansi.solanki@intuitive.ai</t>
  </si>
  <si>
    <t>solankimansi47@gmail.com</t>
  </si>
  <si>
    <t>Lucian.Cimpeanu@intuitive.ai</t>
  </si>
  <si>
    <t>Lucian Cimpeanu</t>
  </si>
  <si>
    <t>lucian.cimpeanu@intuitive.ai</t>
  </si>
  <si>
    <t>AWS Certified Advanced Networking – Specialty;Other (Please specify)</t>
  </si>
  <si>
    <t>lucian.cimpeanu96@gmail.com</t>
  </si>
  <si>
    <t>AWS01990365</t>
  </si>
  <si>
    <t>?</t>
  </si>
  <si>
    <t>Seth.Liddy@intuitive.AI</t>
  </si>
  <si>
    <t>Seth Liddy</t>
  </si>
  <si>
    <t>seth.liddy@intutive.ai</t>
  </si>
  <si>
    <t>N/A</t>
  </si>
  <si>
    <t>n/a.com</t>
  </si>
  <si>
    <t>Ajay.Giri@intuitive.ai</t>
  </si>
  <si>
    <t>Ajay Giri</t>
  </si>
  <si>
    <t xml:space="preserve"> Ajay Shridhar Giri</t>
  </si>
  <si>
    <t>ajay.giri@intuitive.ai</t>
  </si>
  <si>
    <t>Professional;Associate</t>
  </si>
  <si>
    <t>AWS Certified CloudOps Engineer – Associate;AWS Certified Solutions Architect – Professional;AWS Certified DevOps Engineer – Professional</t>
  </si>
  <si>
    <t>ajaysgiriaws@gmail.com</t>
  </si>
  <si>
    <t>AWS04140321</t>
  </si>
  <si>
    <t>Ismail.Taher@intuitive.ai</t>
  </si>
  <si>
    <t>Ismail Taher</t>
  </si>
  <si>
    <t xml:space="preserve">ISMAIL TAHER RAJA </t>
  </si>
  <si>
    <t>ismail.taher@intuitive.ai</t>
  </si>
  <si>
    <t>Foundation;Associate;Specialty</t>
  </si>
  <si>
    <t>AWS Certified Cloud Practitioner;AWS Certified AI Practitioner;AWS Certified Solutions Architect – Associate;AWS Certified Security – Specialty</t>
  </si>
  <si>
    <t>AWS06200978</t>
  </si>
  <si>
    <t>saima.siddiqui@intuitive.ai</t>
  </si>
  <si>
    <t>Saima Siddiqui</t>
  </si>
  <si>
    <t>Saima Ali Siddiqui</t>
  </si>
  <si>
    <t>saimaali.siddiqui@outlook.com</t>
  </si>
  <si>
    <t>satyawan.mali@intuitive.ai</t>
  </si>
  <si>
    <t>Satyawan Mali</t>
  </si>
  <si>
    <t>AWS Certified Advanced Networking – Specialty</t>
  </si>
  <si>
    <t>smsatyawan@gmail.com</t>
  </si>
  <si>
    <t>Pravin.Bhande@intuitive.ai</t>
  </si>
  <si>
    <t>Pravin Bhande</t>
  </si>
  <si>
    <t>PRAVIN BHANDE</t>
  </si>
  <si>
    <t>pravin.bhande@intuitive.ai</t>
  </si>
  <si>
    <t>AWS Certified Cloud Practitioner;AWS Certified Solutions Architect – Associate;AWS Certified SysOps Administrator Associate</t>
  </si>
  <si>
    <t>pravin.bhande@gmail.com</t>
  </si>
  <si>
    <t>AWS01139796</t>
  </si>
  <si>
    <t>AWS06097121</t>
  </si>
  <si>
    <t>Saumil.Shah@intuitive.ai</t>
  </si>
  <si>
    <t>Saumil Shah</t>
  </si>
  <si>
    <t>Saumil Rajan Shah</t>
  </si>
  <si>
    <t>saumil.shah@intuitive.ai</t>
  </si>
  <si>
    <t>AWS03357416</t>
  </si>
  <si>
    <t>Anoosha.Kanungo@intuitive.ai</t>
  </si>
  <si>
    <t>Anoosha Kanungo</t>
  </si>
  <si>
    <t>Anoosha</t>
  </si>
  <si>
    <t>anoosha.kanungo@intuitive.ai</t>
  </si>
  <si>
    <t>Honey.Agarwal@intuitive.ai</t>
  </si>
  <si>
    <t>Honey Agarwal</t>
  </si>
  <si>
    <t>honey.agarwal@intuitive.ai</t>
  </si>
  <si>
    <t>AWS Certified AI Practitioner;AWS Certified Cloud Practitioner</t>
  </si>
  <si>
    <t>honeyagarwal1988@gmail.com</t>
  </si>
  <si>
    <t>AWS03421518</t>
  </si>
  <si>
    <t>Sakshi.Zalavadia@intuitive.ai</t>
  </si>
  <si>
    <t>Sakshi Zalavadia</t>
  </si>
  <si>
    <t>sakshi.zalavadia@intuitive.ai</t>
  </si>
  <si>
    <t>Associate;Professional;Foundation</t>
  </si>
  <si>
    <t>AWS03357379</t>
  </si>
  <si>
    <t>Aditya.Parmar@intuitive.ai</t>
  </si>
  <si>
    <t>Aditya Parmar</t>
  </si>
  <si>
    <t>Adityakumar Parmar</t>
  </si>
  <si>
    <t>aditya.parmar@intuitive.ai</t>
  </si>
  <si>
    <t>96b00a50-81ac-4da2-ac72-09b42bfbb552, 6429cb1d-9a83-47e6-a4d7-965d8827cc4d</t>
  </si>
  <si>
    <t>Tausif.Shahid@intuitive.AI</t>
  </si>
  <si>
    <t>Tausif Shahid</t>
  </si>
  <si>
    <t>tausif.shahid@intuitive.ai</t>
  </si>
  <si>
    <t>tausif.shahid@yahoo.com</t>
  </si>
  <si>
    <t>AWS00948695</t>
  </si>
  <si>
    <t>Nishita.Ardeshna@intuitive.ai</t>
  </si>
  <si>
    <t>Nishita Ardeshna</t>
  </si>
  <si>
    <t>Nishitaben Ardeshna</t>
  </si>
  <si>
    <t>nishita.ardeshna@intuitive.ai</t>
  </si>
  <si>
    <t>Professional;Foundation</t>
  </si>
  <si>
    <t>AWS Certified Cloud Practitioner;AWS Certified DevOps Engineer – Professional</t>
  </si>
  <si>
    <t>nishita197.ardeshna@gmail.com</t>
  </si>
  <si>
    <t>AWS03085375</t>
  </si>
  <si>
    <t>Archit.Pandita@intuitive.ai</t>
  </si>
  <si>
    <t>Archit Pandita</t>
  </si>
  <si>
    <t>Archit pandita</t>
  </si>
  <si>
    <t>archit.pandita@intuitive.ai</t>
  </si>
  <si>
    <t>pandita.archit@gmail.com</t>
  </si>
  <si>
    <t>G5CYZGSLCER</t>
  </si>
  <si>
    <t>AWS Certification Register</t>
  </si>
  <si>
    <t>One row per certification holder | 115 certification records from 67 responses</t>
  </si>
  <si>
    <t>Person</t>
  </si>
  <si>
    <t>Certification Level</t>
  </si>
  <si>
    <t>Certification Name</t>
  </si>
  <si>
    <t>Total Certifications Held</t>
  </si>
  <si>
    <t>Certifications at This Level</t>
  </si>
  <si>
    <t>Skill Builder Consent</t>
  </si>
  <si>
    <t>ISMAIL TAHER RAJA</t>
  </si>
  <si>
    <t>Ajay Shridhar Giri</t>
  </si>
  <si>
    <t>AWS Certified CloudOps Engineer – Associate</t>
  </si>
  <si>
    <t>AWS Certified Developer – Associate</t>
  </si>
  <si>
    <t>AWS Certified Machine Learning Engineer – Associate</t>
  </si>
  <si>
    <t>AWS Certified SysOps Administrator Associate</t>
  </si>
  <si>
    <t>AWS Certified Solutions Architect – Professional</t>
  </si>
  <si>
    <t>Other / Unspecified</t>
  </si>
  <si>
    <t>AWS Certification Dashboard</t>
  </si>
  <si>
    <t>Complete counts by certification, level, and Skill Builder consent</t>
  </si>
  <si>
    <t>PEOPLE</t>
  </si>
  <si>
    <t>CERTIFICATIONS</t>
  </si>
  <si>
    <t>CERTIFICATION TYPES</t>
  </si>
  <si>
    <t>CONSENT RATE</t>
  </si>
  <si>
    <t>employees reporting certifications</t>
  </si>
  <si>
    <t>person–certification records</t>
  </si>
  <si>
    <t>distinct certification names</t>
  </si>
  <si>
    <t>people who gave consent</t>
  </si>
  <si>
    <t>KEY FINDINGS</t>
  </si>
  <si>
    <t>COUNT BY CERTIFICATION LEVEL</t>
  </si>
  <si>
    <t>COUNT BY SKILL BUILDER CONSENT</t>
  </si>
  <si>
    <t>Count</t>
  </si>
  <si>
    <t>Consent Status</t>
  </si>
  <si>
    <t>People</t>
  </si>
  <si>
    <t>Certification Records</t>
  </si>
  <si>
    <t>Total</t>
  </si>
  <si>
    <t>COUNT BY CERTIFICATION NAME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</si>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</sst>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rgb="FF001F43"/>
      <name val="Calibri"/>
      <family val="2"/>
      <scheme val="minor"/>
    </font>
    <font>
      <b/>
      <sz val="11"/>
      <color rgb="FF001F43"/>
      <name val="Calibri"/>
      <family val="2"/>
      <scheme val="minor"/>
    </font>
    <font>
      <b/>
      <sz val="11"/>
      <color rgb="FF262626"/>
      <name val="Calibri"/>
      <family val="2"/>
      <scheme val="minor"/>
    </font>
    <font>
      <sz val="11"/>
      <color rgb="FF595959"/>
      <name val="Calibri"/>
      <family val="2"/>
      <scheme val="minor"/>
    </font>
    <font>
      <sz val="11"/>
      <color rgb="FF117E39"/>
      <name val="Calibri"/>
      <family val="2"/>
      <scheme val="minor"/>
    </font>
    <font>
      <b/>
      <sz val="11"/>
      <color rgb="FF117E39"/>
      <name val="Calibri"/>
      <family val="2"/>
      <scheme val="minor"/>
    </font>
    <font>
      <sz val="11"/>
      <color rgb="FF9A4A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1F43"/>
        <bgColor indexed="64"/>
      </patternFill>
    </fill>
    <fill>
      <patternFill patternType="solid">
        <fgColor rgb="FFB9D5F3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ABBAD6"/>
        <bgColor indexed="64"/>
      </patternFill>
    </fill>
    <fill>
      <patternFill patternType="solid">
        <fgColor rgb="FFE5D0A4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5DCEB"/>
        <bgColor indexed="64"/>
      </patternFill>
    </fill>
    <fill>
      <patternFill patternType="solid">
        <fgColor rgb="FFF2E8D1"/>
        <bgColor indexed="64"/>
      </patternFill>
    </fill>
    <fill>
      <patternFill patternType="solid">
        <fgColor rgb="FFD9EAF7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001F43"/>
      </top>
      <bottom style="thin">
        <color rgb="FFD9D9D9"/>
      </bottom>
      <diagonal/>
    </border>
    <border>
      <left style="thin">
        <color rgb="FFD9D9D9"/>
      </left>
      <right/>
      <top style="medium">
        <color rgb="FF001F43"/>
      </top>
      <bottom style="thin">
        <color rgb="FFD9D9D9"/>
      </bottom>
      <diagonal/>
    </border>
    <border>
      <left/>
      <right style="thin">
        <color rgb="FFD9D9D9"/>
      </right>
      <top style="medium">
        <color rgb="FF001F43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medium">
        <color rgb="FF2E5299"/>
      </bottom>
      <diagonal/>
    </border>
    <border>
      <left/>
      <right style="thin">
        <color rgb="FFD9D9D9"/>
      </right>
      <top style="thin">
        <color rgb="FFD9D9D9"/>
      </top>
      <bottom style="medium">
        <color rgb="FF2E5299"/>
      </bottom>
      <diagonal/>
    </border>
    <border>
      <left style="thin">
        <color rgb="FFD9D9D9"/>
      </left>
      <right/>
      <top style="thin">
        <color rgb="FFD9D9D9"/>
      </top>
      <bottom style="medium">
        <color rgb="FFBF8A1B"/>
      </bottom>
      <diagonal/>
    </border>
    <border>
      <left/>
      <right/>
      <top style="thin">
        <color rgb="FFD9D9D9"/>
      </top>
      <bottom style="medium">
        <color rgb="FFBF8A1B"/>
      </bottom>
      <diagonal/>
    </border>
    <border>
      <left/>
      <right style="thin">
        <color rgb="FFD9D9D9"/>
      </right>
      <top style="thin">
        <color rgb="FFD9D9D9"/>
      </top>
      <bottom style="medium">
        <color rgb="FFBF8A1B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14" fontId="0" fillId="0" borderId="0" xfId="0" applyNumberFormat="1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49" fontId="1" fillId="0" borderId="0" xfId="1" applyNumberFormat="1"/>
    <xf numFmtId="0" fontId="2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6" fillId="4" borderId="0" xfId="0" applyFont="1" applyFill="1"/>
    <xf numFmtId="0" fontId="6" fillId="4" borderId="4" xfId="0" applyFont="1" applyFill="1" applyBorder="1"/>
    <xf numFmtId="0" fontId="6" fillId="10" borderId="4" xfId="0" applyFont="1" applyFill="1" applyBorder="1"/>
    <xf numFmtId="3" fontId="9" fillId="4" borderId="9" xfId="0" applyNumberFormat="1" applyFont="1" applyFill="1" applyBorder="1" applyAlignment="1">
      <alignment horizontal="right"/>
    </xf>
    <xf numFmtId="0" fontId="9" fillId="4" borderId="10" xfId="0" applyFont="1" applyFill="1" applyBorder="1"/>
    <xf numFmtId="3" fontId="6" fillId="4" borderId="7" xfId="0" applyNumberFormat="1" applyFont="1" applyFill="1" applyBorder="1" applyAlignment="1">
      <alignment horizontal="right"/>
    </xf>
    <xf numFmtId="3" fontId="9" fillId="4" borderId="11" xfId="0" applyNumberFormat="1" applyFont="1" applyFill="1" applyBorder="1" applyAlignment="1">
      <alignment horizontal="right"/>
    </xf>
    <xf numFmtId="0" fontId="8" fillId="11" borderId="12" xfId="0" applyFont="1" applyFill="1" applyBorder="1"/>
    <xf numFmtId="0" fontId="8" fillId="11" borderId="13" xfId="0" applyFont="1" applyFill="1" applyBorder="1"/>
    <xf numFmtId="3" fontId="6" fillId="10" borderId="7" xfId="0" applyNumberFormat="1" applyFont="1" applyFill="1" applyBorder="1" applyAlignment="1">
      <alignment horizontal="right"/>
    </xf>
    <xf numFmtId="0" fontId="9" fillId="10" borderId="10" xfId="0" applyFont="1" applyFill="1" applyBorder="1"/>
    <xf numFmtId="3" fontId="9" fillId="10" borderId="11" xfId="0" applyNumberFormat="1" applyFont="1" applyFill="1" applyBorder="1" applyAlignment="1">
      <alignment horizontal="right"/>
    </xf>
    <xf numFmtId="0" fontId="8" fillId="12" borderId="14" xfId="0" applyFont="1" applyFill="1" applyBorder="1"/>
    <xf numFmtId="0" fontId="8" fillId="12" borderId="15" xfId="0" applyFont="1" applyFill="1" applyBorder="1"/>
    <xf numFmtId="0" fontId="8" fillId="12" borderId="16" xfId="0" applyFont="1" applyFill="1" applyBorder="1"/>
    <xf numFmtId="3" fontId="11" fillId="4" borderId="7" xfId="0" applyNumberFormat="1" applyFont="1" applyFill="1" applyBorder="1" applyAlignment="1">
      <alignment horizontal="right"/>
    </xf>
    <xf numFmtId="3" fontId="13" fillId="10" borderId="7" xfId="0" applyNumberFormat="1" applyFont="1" applyFill="1" applyBorder="1" applyAlignment="1">
      <alignment horizontal="right"/>
    </xf>
    <xf numFmtId="3" fontId="0" fillId="10" borderId="0" xfId="0" applyNumberFormat="1" applyFill="1" applyAlignment="1">
      <alignment horizontal="right"/>
    </xf>
    <xf numFmtId="3" fontId="0" fillId="4" borderId="0" xfId="0" applyNumberFormat="1" applyFill="1" applyAlignment="1">
      <alignment horizontal="right"/>
    </xf>
    <xf numFmtId="1" fontId="0" fillId="0" borderId="0" xfId="0" applyNumberFormat="1"/>
    <xf numFmtId="0" fontId="14" fillId="13" borderId="0" xfId="0" applyFont="1" applyFill="1"/>
    <xf numFmtId="1" fontId="14" fillId="13" borderId="0" xfId="0" applyNumberFormat="1" applyFont="1" applyFill="1"/>
    <xf numFmtId="0" fontId="6" fillId="4" borderId="0" xfId="0" applyFont="1" applyFill="1" applyAlignment="1">
      <alignment wrapText="1"/>
    </xf>
    <xf numFmtId="0" fontId="3" fillId="2" borderId="0" xfId="0" applyFont="1" applyFill="1" applyAlignment="1"/>
    <xf numFmtId="0" fontId="4" fillId="0" borderId="0" xfId="0" applyFont="1" applyAlignment="1"/>
    <xf numFmtId="0" fontId="2" fillId="5" borderId="0" xfId="0" applyFont="1" applyFill="1" applyAlignment="1"/>
    <xf numFmtId="0" fontId="5" fillId="5" borderId="0" xfId="0" applyFont="1" applyFill="1" applyAlignment="1"/>
    <xf numFmtId="0" fontId="7" fillId="7" borderId="3" xfId="0" applyFont="1" applyFill="1" applyBorder="1" applyAlignment="1"/>
    <xf numFmtId="0" fontId="7" fillId="7" borderId="1" xfId="0" applyFont="1" applyFill="1" applyBorder="1" applyAlignment="1"/>
    <xf numFmtId="0" fontId="11" fillId="7" borderId="3" xfId="0" applyFont="1" applyFill="1" applyBorder="1" applyAlignment="1"/>
    <xf numFmtId="0" fontId="11" fillId="7" borderId="1" xfId="0" applyFont="1" applyFill="1" applyBorder="1" applyAlignment="1"/>
    <xf numFmtId="0" fontId="11" fillId="7" borderId="6" xfId="0" applyFont="1" applyFill="1" applyBorder="1" applyAlignment="1"/>
    <xf numFmtId="3" fontId="0" fillId="7" borderId="4" xfId="0" applyNumberFormat="1" applyFill="1" applyBorder="1" applyAlignment="1"/>
    <xf numFmtId="3" fontId="9" fillId="7" borderId="0" xfId="0" applyNumberFormat="1" applyFont="1" applyFill="1" applyAlignment="1"/>
    <xf numFmtId="3" fontId="9" fillId="7" borderId="4" xfId="0" applyNumberFormat="1" applyFont="1" applyFill="1" applyBorder="1" applyAlignment="1"/>
    <xf numFmtId="164" fontId="0" fillId="7" borderId="4" xfId="0" applyNumberFormat="1" applyFill="1" applyBorder="1" applyAlignment="1"/>
    <xf numFmtId="164" fontId="12" fillId="7" borderId="0" xfId="0" applyNumberFormat="1" applyFont="1" applyFill="1" applyAlignment="1"/>
    <xf numFmtId="164" fontId="12" fillId="7" borderId="7" xfId="0" applyNumberFormat="1" applyFont="1" applyFill="1" applyBorder="1" applyAlignment="1"/>
    <xf numFmtId="0" fontId="10" fillId="7" borderId="5" xfId="0" applyFont="1" applyFill="1" applyBorder="1" applyAlignment="1"/>
    <xf numFmtId="0" fontId="10" fillId="7" borderId="2" xfId="0" applyFont="1" applyFill="1" applyBorder="1" applyAlignment="1"/>
    <xf numFmtId="0" fontId="10" fillId="7" borderId="8" xfId="0" applyFont="1" applyFill="1" applyBorder="1" applyAlignment="1"/>
    <xf numFmtId="0" fontId="8" fillId="6" borderId="0" xfId="0" applyFont="1" applyFill="1" applyAlignment="1"/>
    <xf numFmtId="0" fontId="8" fillId="8" borderId="0" xfId="0" applyFont="1" applyFill="1" applyAlignment="1"/>
    <xf numFmtId="0" fontId="8" fillId="9" borderId="0" xfId="0" applyFont="1" applyFill="1" applyAlignment="1"/>
  </cellXfs>
  <cellStyles count="2">
    <cellStyle name="Hyperlink" xfId="1" builtinId="8"/>
    <cellStyle name="Normal" xfId="0" builtinId="0"/>
  </cellStyles>
  <dxfs count="2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Z70" totalsRowShown="0">
  <autoFilter ref="A1:Z70" xr:uid="{00000000-0009-0000-0100-000001000000}"/>
  <tableColumns count="26">
    <tableColumn id="1" xr3:uid="{00000000-0010-0000-0000-000001000000}" name="Id" dataDxfId="2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2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ull legal name as per your AWS Certificate" dataDxfId="20">
      <extLst>
        <ext xmlns:xlmsforms="http://schemas.microsoft.com/office/spreadsheetml/2023/msForms" uri="{FCC71383-01E1-4257-9335-427F07BE8D7F}">
          <xlmsforms:question id="rfa91497fecd6448abc33a5465a256bed"/>
        </ext>
      </extLst>
    </tableColumn>
    <tableColumn id="7" xr3:uid="{00000000-0010-0000-0000-000007000000}" name="Intuitive email address" dataDxfId="19">
      <extLst>
        <ext xmlns:xlmsforms="http://schemas.microsoft.com/office/spreadsheetml/2023/msForms" uri="{FCC71383-01E1-4257-9335-427F07BE8D7F}">
          <xlmsforms:question id="r3a08534d95a143669d353cd6821d19e6"/>
        </ext>
      </extLst>
    </tableColumn>
    <tableColumn id="8" xr3:uid="{00000000-0010-0000-0000-000008000000}" name="Which AWS certifications have you completed?" dataDxfId="18">
      <extLst>
        <ext xmlns:xlmsforms="http://schemas.microsoft.com/office/spreadsheetml/2023/msForms" uri="{FCC71383-01E1-4257-9335-427F07BE8D7F}">
          <xlmsforms:question id="re1930599e9df477ba84d55783fb72501"/>
        </ext>
      </extLst>
    </tableColumn>
    <tableColumn id="25" xr3:uid="{4B1E75A0-5157-401C-9461-5C6D63F8F485}" name="Certification level" dataDxfId="17">
      <extLst>
        <ext xmlns:xlmsforms="http://schemas.microsoft.com/office/spreadsheetml/2023/msForms" uri="{FCC71383-01E1-4257-9335-427F07BE8D7F}">
          <xlmsforms:question id="rfd05a0fa507a4f4bb6ed2ca4b773141a"/>
        </ext>
      </extLst>
    </tableColumn>
    <tableColumn id="23" xr3:uid="{08B65BE7-E145-44D0-9731-2E92B1ACD484}" name="Certification date" dataDxfId="16">
      <extLst>
        <ext xmlns:xlmsforms="http://schemas.microsoft.com/office/spreadsheetml/2023/msForms" uri="{FCC71383-01E1-4257-9335-427F07BE8D7F}">
          <xlmsforms:question id="r7a1e577318604204a0727cd4644b6a08"/>
        </ext>
      </extLst>
    </tableColumn>
    <tableColumn id="24" xr3:uid="{9AB03391-DADE-4BE8-851A-50E0E188687D}" name="Certification expiry date" dataDxfId="15">
      <extLst>
        <ext xmlns:xlmsforms="http://schemas.microsoft.com/office/spreadsheetml/2023/msForms" uri="{FCC71383-01E1-4257-9335-427F07BE8D7F}">
          <xlmsforms:question id="rf6b30d0ad26d4d3ab526e016cb407406"/>
        </ext>
      </extLst>
    </tableColumn>
    <tableColumn id="9" xr3:uid="{00000000-0010-0000-0000-000009000000}" name="Which AWS certifications have you completed?1" dataDxfId="14">
      <extLst>
        <ext xmlns:xlmsforms="http://schemas.microsoft.com/office/spreadsheetml/2023/msForms" uri="{FCC71383-01E1-4257-9335-427F07BE8D7F}">
          <xlmsforms:question id="rfc6bc39d2a1c4a8aa984179499078a02"/>
        </ext>
      </extLst>
    </tableColumn>
    <tableColumn id="10" xr3:uid="{00000000-0010-0000-0000-00000A000000}" name="Practice" dataDxfId="13">
      <extLst>
        <ext xmlns:xlmsforms="http://schemas.microsoft.com/office/spreadsheetml/2023/msForms" uri="{FCC71383-01E1-4257-9335-427F07BE8D7F}">
          <xlmsforms:question id="r00d7a4c77b1746769f0f8159dc14f9fb"/>
        </ext>
      </extLst>
    </tableColumn>
    <tableColumn id="11" xr3:uid="{00000000-0010-0000-0000-00000B000000}" name="Practice Director" dataDxfId="12">
      <extLst>
        <ext xmlns:xlmsforms="http://schemas.microsoft.com/office/spreadsheetml/2023/msForms" uri="{FCC71383-01E1-4257-9335-427F07BE8D7F}">
          <xlmsforms:question id="r63edf174fe6f4a24ae3d2a8a879be131"/>
        </ext>
      </extLst>
    </tableColumn>
    <tableColumn id="12" xr3:uid="{00000000-0010-0000-0000-00000C000000}" name="Geography" dataDxfId="11">
      <extLst>
        <ext xmlns:xlmsforms="http://schemas.microsoft.com/office/spreadsheetml/2023/msForms" uri="{FCC71383-01E1-4257-9335-427F07BE8D7F}">
          <xlmsforms:question id="rea5f07114f684a089698d57f59118ffe"/>
        </ext>
      </extLst>
    </tableColumn>
    <tableColumn id="13" xr3:uid="{00000000-0010-0000-0000-00000D000000}" name="Which describes your AWS certification account today?" dataDxfId="10">
      <extLst>
        <ext xmlns:xlmsforms="http://schemas.microsoft.com/office/spreadsheetml/2023/msForms" uri="{FCC71383-01E1-4257-9335-427F07BE8D7F}">
          <xlmsforms:question id="r83f04275ba9b4a81af0cecc0f3d66b3c"/>
        </ext>
      </extLst>
    </tableColumn>
    <tableColumn id="14" xr3:uid="{00000000-0010-0000-0000-00000E000000}" name="Personal email holding your certifications" dataDxfId="9">
      <extLst>
        <ext xmlns:xlmsforms="http://schemas.microsoft.com/office/spreadsheetml/2023/msForms" uri="{FCC71383-01E1-4257-9335-427F07BE8D7F}">
          <xlmsforms:question id="r089183d168374f87b8d5cead71e309df"/>
        </ext>
      </extLst>
    </tableColumn>
    <tableColumn id="15" xr3:uid="{00000000-0010-0000-0000-00000F000000}" name="AWS Certification Candidate ID" dataDxfId="8">
      <extLst>
        <ext xmlns:xlmsforms="http://schemas.microsoft.com/office/spreadsheetml/2023/msForms" uri="{FCC71383-01E1-4257-9335-427F07BE8D7F}">
          <xlmsforms:question id="rc78c21782dc242db92e8bada0eb79bbf"/>
        </ext>
      </extLst>
    </tableColumn>
    <tableColumn id="26" xr3:uid="{A27892D7-FC62-4B90-AC07-B5956CA04ECC}" name="Have you given consent in AWS Skill Builder to share your certifications with the company?" dataDxfId="7">
      <extLst>
        <ext xmlns:xlmsforms="http://schemas.microsoft.com/office/spreadsheetml/2023/msForms" uri="{FCC71383-01E1-4257-9335-427F07BE8D7F}">
          <xlmsforms:question id="r65077b2fe5c046e99cd1e96dff5c7eae"/>
        </ext>
      </extLst>
    </tableColumn>
    <tableColumn id="16" xr3:uid="{00000000-0010-0000-0000-000010000000}" name="Candidate ID on your second account" dataDxfId="6">
      <extLst>
        <ext xmlns:xlmsforms="http://schemas.microsoft.com/office/spreadsheetml/2023/msForms" uri="{FCC71383-01E1-4257-9335-427F07BE8D7F}">
          <xlmsforms:question id="r4139d886bf6a49188952b63a5b76ab51"/>
        </ext>
      </extLst>
    </tableColumn>
    <tableColumn id="17" xr3:uid="{00000000-0010-0000-0000-000011000000}" name="Certification account email changed to Intuitive?" dataDxfId="5">
      <extLst>
        <ext xmlns:xlmsforms="http://schemas.microsoft.com/office/spreadsheetml/2023/msForms" uri="{FCC71383-01E1-4257-9335-427F07BE8D7F}">
          <xlmsforms:question id="ra1969b8f783b42159626717a17b7935b"/>
        </ext>
      </extLst>
    </tableColumn>
    <tableColumn id="18" xr3:uid="{00000000-0010-0000-0000-000012000000}" name="Partner Central Training and Certification email updated?" dataDxfId="4">
      <extLst>
        <ext xmlns:xlmsforms="http://schemas.microsoft.com/office/spreadsheetml/2023/msForms" uri="{FCC71383-01E1-4257-9335-427F07BE8D7F}">
          <xlmsforms:question id="re08245723caf4f42b2b0d3b1f2c8060e"/>
        </ext>
      </extLst>
    </tableColumn>
    <tableColumn id="19" xr3:uid="{00000000-0010-0000-0000-000013000000}" name="AWS merge case raised?" dataDxfId="3">
      <extLst>
        <ext xmlns:xlmsforms="http://schemas.microsoft.com/office/spreadsheetml/2023/msForms" uri="{FCC71383-01E1-4257-9335-427F07BE8D7F}">
          <xlmsforms:question id="r0687ca1017d740099bc98a796978a553"/>
        </ext>
      </extLst>
    </tableColumn>
    <tableColumn id="20" xr3:uid="{00000000-0010-0000-0000-000014000000}" name="AWS support case number" dataDxfId="2">
      <extLst>
        <ext xmlns:xlmsforms="http://schemas.microsoft.com/office/spreadsheetml/2023/msForms" uri="{FCC71383-01E1-4257-9335-427F07BE8D7F}">
          <xlmsforms:question id="r055dcfa87eae42b5928f71df973099d0"/>
        </ext>
      </extLst>
    </tableColumn>
    <tableColumn id="21" xr3:uid="{00000000-0010-0000-0000-000015000000}" name="Partner Alliance contacted for a new invitation?" dataDxfId="1">
      <extLst>
        <ext xmlns:xlmsforms="http://schemas.microsoft.com/office/spreadsheetml/2023/msForms" uri="{FCC71383-01E1-4257-9335-427F07BE8D7F}">
          <xlmsforms:question id="rb102083d588849278fc2b06dce4657f4"/>
        </ext>
      </extLst>
    </tableColumn>
    <tableColumn id="22" xr3:uid="{00000000-0010-0000-0000-000016000000}" name="What you are unsure about" dataDxfId="0">
      <extLst>
        <ext xmlns:xlmsforms="http://schemas.microsoft.com/office/spreadsheetml/2023/msForms" uri="{FCC71383-01E1-4257-9335-427F07BE8D7F}">
          <xlmsforms:question id="r5e44f58ac1354ae7ba7fcea8f960da0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TBgHNzPaEapa_Ut7fDta2_DNEvgn1VPoP31teU6WwpUMDVUSEhRUUc5VFM0TzZXTTNLNVpNTUswSi4u" isFormConnected="1" maxResponseId="71" latestEventMarker="9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rfa91497fecd6448abc33a5465a256bed</xlmsforms:syncedQuestionId>
        <xlmsforms:syncedQuestionId>r3a08534d95a143669d353cd6821d19e6</xlmsforms:syncedQuestionId>
        <xlmsforms:syncedQuestionId>re1930599e9df477ba84d55783fb72501</xlmsforms:syncedQuestionId>
        <xlmsforms:syncedQuestionId>rfc6bc39d2a1c4a8aa984179499078a02</xlmsforms:syncedQuestionId>
        <xlmsforms:syncedQuestionId>r00d7a4c77b1746769f0f8159dc14f9fb</xlmsforms:syncedQuestionId>
        <xlmsforms:syncedQuestionId>r63edf174fe6f4a24ae3d2a8a879be131</xlmsforms:syncedQuestionId>
        <xlmsforms:syncedQuestionId>rea5f07114f684a089698d57f59118ffe</xlmsforms:syncedQuestionId>
        <xlmsforms:syncedQuestionId>r83f04275ba9b4a81af0cecc0f3d66b3c</xlmsforms:syncedQuestionId>
        <xlmsforms:syncedQuestionId>r089183d168374f87b8d5cead71e309df</xlmsforms:syncedQuestionId>
        <xlmsforms:syncedQuestionId>rc78c21782dc242db92e8bada0eb79bbf</xlmsforms:syncedQuestionId>
        <xlmsforms:syncedQuestionId>r4139d886bf6a49188952b63a5b76ab51</xlmsforms:syncedQuestionId>
        <xlmsforms:syncedQuestionId>ra1969b8f783b42159626717a17b7935b</xlmsforms:syncedQuestionId>
        <xlmsforms:syncedQuestionId>re08245723caf4f42b2b0d3b1f2c8060e</xlmsforms:syncedQuestionId>
        <xlmsforms:syncedQuestionId>r0687ca1017d740099bc98a796978a553</xlmsforms:syncedQuestionId>
        <xlmsforms:syncedQuestionId>r055dcfa87eae42b5928f71df973099d0</xlmsforms:syncedQuestionId>
        <xlmsforms:syncedQuestionId>rb102083d588849278fc2b06dce4657f4</xlmsforms:syncedQuestionId>
        <xlmsforms:syncedQuestionId>r5e44f58ac1354ae7ba7fcea8f960da06</xlmsforms:syncedQuestionId>
        <xlmsforms:syncedQuestionId>r7a1e577318604204a0727cd4644b6a08</xlmsforms:syncedQuestionId>
        <xlmsforms:syncedQuestionId>rf6b30d0ad26d4d3ab526e016cb407406</xlmsforms:syncedQuestionId>
        <xlmsforms:syncedQuestionId>rfd05a0fa507a4f4bb6ed2ca4b773141a</xlmsforms:syncedQuestionId>
        <xlmsforms:syncedQuestionId>r65077b2fe5c046e99cd1e96dff5c7eae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hal.Pathan@intuitive.AI" TargetMode="External"/><Relationship Id="rId2" Type="http://schemas.openxmlformats.org/officeDocument/2006/relationships/hyperlink" Target="mailto:Faraaz.Bhojawala@intuitive.AI" TargetMode="External"/><Relationship Id="rId1" Type="http://schemas.openxmlformats.org/officeDocument/2006/relationships/hyperlink" Target="mailto:Ampil.Verma@intuitive.AI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atish.Kumar@intuitive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0"/>
  <sheetViews>
    <sheetView tabSelected="1" topLeftCell="A18" workbookViewId="0">
      <selection activeCell="D49" sqref="D49"/>
    </sheetView>
  </sheetViews>
  <sheetFormatPr defaultRowHeight="15"/>
  <cols>
    <col min="1" max="5" width="20" bestFit="1" customWidth="1"/>
    <col min="6" max="6" width="40.140625" customWidth="1"/>
    <col min="7" max="7" width="24.7109375" customWidth="1"/>
    <col min="8" max="8" width="26.5703125" customWidth="1"/>
    <col min="9" max="10" width="19" customWidth="1"/>
    <col min="11" max="15" width="20" bestFit="1" customWidth="1"/>
    <col min="16" max="16" width="42.28515625" customWidth="1"/>
    <col min="17" max="18" width="20" bestFit="1" customWidth="1"/>
    <col min="19" max="19" width="19" customWidth="1"/>
    <col min="20" max="20" width="20" bestFit="1" customWidth="1"/>
    <col min="21" max="21" width="28.140625" customWidth="1"/>
    <col min="22" max="22" width="20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3</v>
      </c>
      <c r="B2" s="3">
        <v>46241.990266203698</v>
      </c>
      <c r="C2" s="3">
        <v>46241.993900463</v>
      </c>
      <c r="D2" s="6" t="s">
        <v>26</v>
      </c>
      <c r="E2" s="4" t="s">
        <v>27</v>
      </c>
      <c r="F2" s="4" t="s">
        <v>27</v>
      </c>
      <c r="G2" s="4" t="s">
        <v>28</v>
      </c>
      <c r="H2" s="4"/>
      <c r="I2" t="s">
        <v>29</v>
      </c>
      <c r="J2" s="1"/>
      <c r="K2" s="1"/>
      <c r="L2" s="4" t="s">
        <v>30</v>
      </c>
      <c r="M2" s="4"/>
      <c r="N2" s="4"/>
      <c r="O2" s="4"/>
      <c r="P2" s="4" t="s">
        <v>31</v>
      </c>
      <c r="Q2" s="4"/>
      <c r="R2" s="5"/>
      <c r="S2" s="2" t="s">
        <v>32</v>
      </c>
      <c r="T2" s="4"/>
      <c r="U2" s="4" t="s">
        <v>33</v>
      </c>
      <c r="V2" s="4"/>
      <c r="W2" s="4"/>
      <c r="X2" s="4"/>
      <c r="Y2" s="4"/>
      <c r="Z2" s="4"/>
    </row>
    <row r="3" spans="1:26">
      <c r="A3">
        <v>4</v>
      </c>
      <c r="B3" s="3">
        <v>46241.9979282407</v>
      </c>
      <c r="C3" s="3">
        <v>46242.000462962998</v>
      </c>
      <c r="D3" s="4" t="s">
        <v>34</v>
      </c>
      <c r="E3" s="4" t="s">
        <v>35</v>
      </c>
      <c r="F3" s="4" t="s">
        <v>35</v>
      </c>
      <c r="G3" s="4" t="s">
        <v>36</v>
      </c>
      <c r="H3" s="4"/>
      <c r="I3" t="s">
        <v>37</v>
      </c>
      <c r="J3" s="1"/>
      <c r="K3" s="1"/>
      <c r="L3" s="4" t="s">
        <v>30</v>
      </c>
      <c r="M3" s="4"/>
      <c r="N3" s="4"/>
      <c r="O3" s="4"/>
      <c r="P3" s="4" t="s">
        <v>38</v>
      </c>
      <c r="Q3" s="4"/>
      <c r="R3" s="5" t="s">
        <v>39</v>
      </c>
      <c r="S3" s="2" t="s">
        <v>40</v>
      </c>
      <c r="T3" s="4"/>
      <c r="U3" s="4"/>
      <c r="V3" s="4"/>
      <c r="W3" s="4"/>
      <c r="X3" s="4"/>
      <c r="Y3" s="4"/>
      <c r="Z3" s="4"/>
    </row>
    <row r="4" spans="1:26">
      <c r="A4">
        <v>5</v>
      </c>
      <c r="B4" s="3">
        <v>46242.027141203696</v>
      </c>
      <c r="C4" s="3">
        <v>46242.029733796298</v>
      </c>
      <c r="D4" s="4" t="s">
        <v>41</v>
      </c>
      <c r="E4" s="4" t="s">
        <v>42</v>
      </c>
      <c r="F4" s="4" t="s">
        <v>42</v>
      </c>
      <c r="G4" s="4" t="s">
        <v>43</v>
      </c>
      <c r="H4" s="4"/>
      <c r="I4" t="s">
        <v>37</v>
      </c>
      <c r="J4" s="1"/>
      <c r="K4" s="1"/>
      <c r="L4" s="4" t="s">
        <v>30</v>
      </c>
      <c r="M4" s="4"/>
      <c r="N4" s="4"/>
      <c r="O4" s="4"/>
      <c r="P4" s="4" t="s">
        <v>38</v>
      </c>
      <c r="Q4" s="4"/>
      <c r="R4" s="5" t="s">
        <v>44</v>
      </c>
      <c r="S4" s="2" t="s">
        <v>40</v>
      </c>
      <c r="T4" s="4"/>
      <c r="U4" s="4"/>
      <c r="V4" s="4"/>
      <c r="W4" s="4"/>
      <c r="X4" s="4"/>
      <c r="Y4" s="4"/>
      <c r="Z4" s="4"/>
    </row>
    <row r="5" spans="1:26">
      <c r="A5">
        <v>6</v>
      </c>
      <c r="B5" s="3">
        <v>46242.026157407403</v>
      </c>
      <c r="C5" s="3">
        <v>46242.030833333301</v>
      </c>
      <c r="D5" s="4" t="s">
        <v>45</v>
      </c>
      <c r="E5" s="4" t="s">
        <v>46</v>
      </c>
      <c r="F5" s="4" t="s">
        <v>46</v>
      </c>
      <c r="G5" s="4" t="s">
        <v>47</v>
      </c>
      <c r="H5" s="4"/>
      <c r="I5" t="s">
        <v>48</v>
      </c>
      <c r="J5" s="1"/>
      <c r="K5" s="1"/>
      <c r="L5" s="4" t="s">
        <v>49</v>
      </c>
      <c r="M5" s="4"/>
      <c r="N5" s="4"/>
      <c r="O5" s="4"/>
      <c r="P5" s="4" t="s">
        <v>38</v>
      </c>
      <c r="Q5" s="4"/>
      <c r="R5" s="5" t="s">
        <v>50</v>
      </c>
      <c r="S5" s="2" t="s">
        <v>40</v>
      </c>
      <c r="T5" s="4"/>
      <c r="U5" s="4"/>
      <c r="V5" s="4"/>
      <c r="W5" s="4"/>
      <c r="X5" s="4"/>
      <c r="Y5" s="4"/>
      <c r="Z5" s="4"/>
    </row>
    <row r="6" spans="1:26">
      <c r="A6">
        <v>7</v>
      </c>
      <c r="B6" s="3">
        <v>46242.027175925898</v>
      </c>
      <c r="C6" s="3">
        <v>46242.033923611103</v>
      </c>
      <c r="D6" s="4" t="s">
        <v>51</v>
      </c>
      <c r="E6" s="4" t="s">
        <v>52</v>
      </c>
      <c r="F6" s="4" t="s">
        <v>52</v>
      </c>
      <c r="G6" s="4" t="s">
        <v>53</v>
      </c>
      <c r="H6" s="4"/>
      <c r="I6" t="s">
        <v>37</v>
      </c>
      <c r="J6" s="1"/>
      <c r="K6" s="1"/>
      <c r="L6" s="4" t="s">
        <v>30</v>
      </c>
      <c r="M6" s="4"/>
      <c r="N6" s="4"/>
      <c r="O6" s="4"/>
      <c r="P6" s="4" t="s">
        <v>31</v>
      </c>
      <c r="Q6" s="4" t="s">
        <v>54</v>
      </c>
      <c r="R6" s="5" t="s">
        <v>55</v>
      </c>
      <c r="S6" s="2" t="s">
        <v>40</v>
      </c>
      <c r="T6" s="4" t="s">
        <v>56</v>
      </c>
      <c r="U6" s="4" t="s">
        <v>57</v>
      </c>
      <c r="V6" s="4"/>
      <c r="W6" s="4"/>
      <c r="X6" s="4"/>
      <c r="Y6" s="4"/>
      <c r="Z6" s="4"/>
    </row>
    <row r="7" spans="1:26">
      <c r="A7">
        <v>8</v>
      </c>
      <c r="B7" s="3">
        <v>46242.026064814803</v>
      </c>
      <c r="C7" s="3">
        <v>46242.034745370402</v>
      </c>
      <c r="D7" s="4" t="s">
        <v>58</v>
      </c>
      <c r="E7" s="4" t="s">
        <v>59</v>
      </c>
      <c r="F7" s="4" t="s">
        <v>59</v>
      </c>
      <c r="G7" s="4" t="s">
        <v>60</v>
      </c>
      <c r="H7" s="4"/>
      <c r="I7" t="s">
        <v>37</v>
      </c>
      <c r="J7" s="1"/>
      <c r="K7" s="1"/>
      <c r="L7" s="4" t="s">
        <v>30</v>
      </c>
      <c r="M7" s="4"/>
      <c r="N7" s="4"/>
      <c r="O7" s="4"/>
      <c r="P7" s="4" t="s">
        <v>38</v>
      </c>
      <c r="Q7" s="4"/>
      <c r="R7" s="5" t="s">
        <v>61</v>
      </c>
      <c r="S7" s="2" t="s">
        <v>40</v>
      </c>
      <c r="T7" s="4"/>
      <c r="U7" s="4"/>
      <c r="V7" s="4"/>
      <c r="W7" s="4"/>
      <c r="X7" s="4"/>
      <c r="Y7" s="4"/>
      <c r="Z7" s="4"/>
    </row>
    <row r="8" spans="1:26">
      <c r="A8">
        <v>9</v>
      </c>
      <c r="B8" s="3">
        <v>46242.026458333297</v>
      </c>
      <c r="C8" s="3">
        <v>46242.042187500003</v>
      </c>
      <c r="D8" s="4" t="s">
        <v>62</v>
      </c>
      <c r="E8" s="4" t="s">
        <v>63</v>
      </c>
      <c r="F8" s="4" t="s">
        <v>63</v>
      </c>
      <c r="G8" s="4" t="s">
        <v>64</v>
      </c>
      <c r="H8" s="4"/>
      <c r="I8" t="s">
        <v>65</v>
      </c>
      <c r="J8" s="1"/>
      <c r="K8" s="1"/>
      <c r="L8" s="4" t="s">
        <v>66</v>
      </c>
      <c r="M8" s="4"/>
      <c r="N8" s="4"/>
      <c r="O8" s="4"/>
      <c r="P8" s="4" t="s">
        <v>38</v>
      </c>
      <c r="Q8" s="4"/>
      <c r="R8" s="5" t="s">
        <v>67</v>
      </c>
      <c r="S8" s="2" t="s">
        <v>40</v>
      </c>
      <c r="T8" s="4"/>
      <c r="U8" s="4"/>
      <c r="V8" s="4"/>
      <c r="W8" s="4"/>
      <c r="X8" s="4"/>
      <c r="Y8" s="4"/>
      <c r="Z8" s="4"/>
    </row>
    <row r="9" spans="1:26">
      <c r="A9">
        <v>10</v>
      </c>
      <c r="B9" s="3">
        <v>46242.050613425898</v>
      </c>
      <c r="C9" s="3">
        <v>46242.053807870398</v>
      </c>
      <c r="D9" s="4" t="s">
        <v>68</v>
      </c>
      <c r="E9" s="4" t="s">
        <v>69</v>
      </c>
      <c r="F9" s="4" t="s">
        <v>69</v>
      </c>
      <c r="G9" s="4" t="s">
        <v>68</v>
      </c>
      <c r="H9" s="4"/>
      <c r="I9" t="s">
        <v>29</v>
      </c>
      <c r="J9" s="1"/>
      <c r="K9" s="1"/>
      <c r="L9" s="4" t="s">
        <v>70</v>
      </c>
      <c r="M9" s="4"/>
      <c r="N9" s="4"/>
      <c r="O9" s="4"/>
      <c r="P9" s="4" t="s">
        <v>38</v>
      </c>
      <c r="Q9" s="4" t="s">
        <v>71</v>
      </c>
      <c r="R9" s="5" t="s">
        <v>72</v>
      </c>
      <c r="S9" s="2" t="s">
        <v>40</v>
      </c>
      <c r="T9" s="4"/>
      <c r="U9" s="4" t="s">
        <v>73</v>
      </c>
      <c r="V9" s="4"/>
      <c r="W9" s="4"/>
      <c r="X9" s="4"/>
      <c r="Y9" s="4"/>
      <c r="Z9" s="4"/>
    </row>
    <row r="10" spans="1:26">
      <c r="A10">
        <v>11</v>
      </c>
      <c r="B10" s="3">
        <v>46242.047245370399</v>
      </c>
      <c r="C10" s="3">
        <v>46242.055925925903</v>
      </c>
      <c r="D10" s="4" t="s">
        <v>74</v>
      </c>
      <c r="E10" s="4" t="s">
        <v>75</v>
      </c>
      <c r="F10" s="4" t="s">
        <v>75</v>
      </c>
      <c r="G10" s="4" t="s">
        <v>76</v>
      </c>
      <c r="H10" s="4"/>
      <c r="I10" t="s">
        <v>37</v>
      </c>
      <c r="J10" s="1"/>
      <c r="K10" s="1"/>
      <c r="L10" s="4" t="s">
        <v>30</v>
      </c>
      <c r="M10" s="4"/>
      <c r="N10" s="4"/>
      <c r="O10" s="4"/>
      <c r="P10" s="4" t="s">
        <v>38</v>
      </c>
      <c r="Q10" s="4"/>
      <c r="R10" s="5" t="s">
        <v>77</v>
      </c>
      <c r="S10" s="2" t="s">
        <v>40</v>
      </c>
      <c r="T10" s="4"/>
      <c r="U10" s="4"/>
      <c r="V10" s="4"/>
      <c r="W10" s="4"/>
      <c r="X10" s="4"/>
      <c r="Y10" s="4"/>
      <c r="Z10" s="4"/>
    </row>
    <row r="11" spans="1:26">
      <c r="A11">
        <v>12</v>
      </c>
      <c r="B11" s="3">
        <v>46242.051099536999</v>
      </c>
      <c r="C11" s="3">
        <v>46242.064976851798</v>
      </c>
      <c r="D11" s="4" t="s">
        <v>78</v>
      </c>
      <c r="E11" s="4" t="s">
        <v>79</v>
      </c>
      <c r="F11" s="4" t="s">
        <v>79</v>
      </c>
      <c r="G11" s="4" t="s">
        <v>80</v>
      </c>
      <c r="H11" s="4"/>
      <c r="I11" t="s">
        <v>81</v>
      </c>
      <c r="J11" s="1"/>
      <c r="K11" s="1"/>
      <c r="L11" s="4" t="s">
        <v>82</v>
      </c>
      <c r="M11" s="4"/>
      <c r="N11" s="4"/>
      <c r="O11" s="4"/>
      <c r="P11" s="4" t="s">
        <v>31</v>
      </c>
      <c r="Q11" s="4" t="s">
        <v>83</v>
      </c>
      <c r="R11" s="5" t="s">
        <v>84</v>
      </c>
      <c r="S11" s="2" t="s">
        <v>32</v>
      </c>
      <c r="T11" s="4"/>
      <c r="U11" s="4" t="s">
        <v>33</v>
      </c>
      <c r="V11" s="4"/>
      <c r="W11" s="4"/>
      <c r="X11" s="4"/>
      <c r="Y11" s="4"/>
      <c r="Z11" s="4"/>
    </row>
    <row r="12" spans="1:26">
      <c r="A12">
        <v>13</v>
      </c>
      <c r="B12" s="3">
        <v>46242.036203703698</v>
      </c>
      <c r="C12" s="3">
        <v>46242.066909722198</v>
      </c>
      <c r="D12" s="4" t="s">
        <v>85</v>
      </c>
      <c r="E12" s="4" t="s">
        <v>86</v>
      </c>
      <c r="F12" s="4" t="s">
        <v>87</v>
      </c>
      <c r="G12" s="4" t="s">
        <v>88</v>
      </c>
      <c r="H12" s="4"/>
      <c r="I12" t="s">
        <v>65</v>
      </c>
      <c r="J12" s="1"/>
      <c r="K12" s="1"/>
      <c r="L12" s="4" t="s">
        <v>89</v>
      </c>
      <c r="M12" s="4"/>
      <c r="N12" s="4"/>
      <c r="O12" s="4"/>
      <c r="P12" s="4" t="s">
        <v>31</v>
      </c>
      <c r="Q12" s="4" t="s">
        <v>90</v>
      </c>
      <c r="R12" s="5" t="s">
        <v>91</v>
      </c>
      <c r="S12" s="2" t="s">
        <v>40</v>
      </c>
      <c r="T12" s="4"/>
      <c r="U12" s="4" t="s">
        <v>73</v>
      </c>
      <c r="V12" s="4"/>
      <c r="W12" s="4"/>
      <c r="X12" s="4"/>
      <c r="Y12" s="4"/>
      <c r="Z12" s="4"/>
    </row>
    <row r="13" spans="1:26">
      <c r="A13">
        <v>14</v>
      </c>
      <c r="B13" s="3">
        <v>46242.039745370399</v>
      </c>
      <c r="C13" s="3">
        <v>46242.069930555597</v>
      </c>
      <c r="D13" s="4" t="s">
        <v>92</v>
      </c>
      <c r="E13" s="4" t="s">
        <v>93</v>
      </c>
      <c r="F13" s="4" t="s">
        <v>93</v>
      </c>
      <c r="G13" s="4" t="s">
        <v>94</v>
      </c>
      <c r="H13" s="4"/>
      <c r="I13" t="s">
        <v>95</v>
      </c>
      <c r="J13" s="1"/>
      <c r="K13" s="1"/>
      <c r="L13" s="4" t="s">
        <v>96</v>
      </c>
      <c r="M13" s="4"/>
      <c r="N13" s="4"/>
      <c r="O13" s="4"/>
      <c r="P13" s="4" t="s">
        <v>38</v>
      </c>
      <c r="Q13" s="4"/>
      <c r="R13" s="5"/>
      <c r="S13" s="2" t="s">
        <v>40</v>
      </c>
      <c r="T13" s="4"/>
      <c r="U13" s="4" t="s">
        <v>73</v>
      </c>
      <c r="V13" s="4"/>
      <c r="W13" s="4"/>
      <c r="X13" s="4"/>
      <c r="Y13" s="4"/>
      <c r="Z13" s="4"/>
    </row>
    <row r="14" spans="1:26">
      <c r="A14">
        <v>15</v>
      </c>
      <c r="B14" s="3">
        <v>46242.077650462998</v>
      </c>
      <c r="C14" s="3">
        <v>46242.082349536999</v>
      </c>
      <c r="D14" s="4" t="s">
        <v>97</v>
      </c>
      <c r="E14" s="4" t="s">
        <v>98</v>
      </c>
      <c r="F14" s="4" t="s">
        <v>98</v>
      </c>
      <c r="G14" s="4" t="s">
        <v>97</v>
      </c>
      <c r="H14" s="4"/>
      <c r="I14" t="s">
        <v>29</v>
      </c>
      <c r="J14" s="1"/>
      <c r="K14" s="1"/>
      <c r="L14" s="4" t="s">
        <v>99</v>
      </c>
      <c r="M14" s="4"/>
      <c r="N14" s="4"/>
      <c r="O14" s="4"/>
      <c r="P14" s="4" t="s">
        <v>31</v>
      </c>
      <c r="Q14" s="4" t="s">
        <v>100</v>
      </c>
      <c r="R14" s="5"/>
      <c r="S14" s="2" t="s">
        <v>40</v>
      </c>
      <c r="T14" s="4"/>
      <c r="U14" s="4" t="s">
        <v>73</v>
      </c>
      <c r="V14" s="4"/>
      <c r="W14" s="4"/>
      <c r="X14" s="4"/>
      <c r="Y14" s="4"/>
      <c r="Z14" s="4"/>
    </row>
    <row r="15" spans="1:26">
      <c r="A15">
        <v>16</v>
      </c>
      <c r="B15" s="3">
        <v>46242.389270833301</v>
      </c>
      <c r="C15" s="3">
        <v>46242.392708333296</v>
      </c>
      <c r="D15" s="4" t="s">
        <v>101</v>
      </c>
      <c r="E15" s="4" t="s">
        <v>102</v>
      </c>
      <c r="F15" s="4" t="s">
        <v>103</v>
      </c>
      <c r="G15" s="4" t="s">
        <v>104</v>
      </c>
      <c r="H15" s="4"/>
      <c r="I15" t="s">
        <v>29</v>
      </c>
      <c r="J15" s="1"/>
      <c r="K15" s="1"/>
      <c r="L15" s="4" t="s">
        <v>105</v>
      </c>
      <c r="M15" s="4"/>
      <c r="N15" s="4"/>
      <c r="O15" s="4"/>
      <c r="P15" s="4" t="s">
        <v>31</v>
      </c>
      <c r="Q15" s="4"/>
      <c r="R15" s="5" t="s">
        <v>106</v>
      </c>
      <c r="S15" s="2" t="s">
        <v>32</v>
      </c>
      <c r="T15" s="4" t="s">
        <v>106</v>
      </c>
      <c r="U15" s="4" t="s">
        <v>33</v>
      </c>
      <c r="V15" s="4"/>
      <c r="W15" s="4"/>
      <c r="X15" s="4"/>
      <c r="Y15" s="4"/>
      <c r="Z15" s="4"/>
    </row>
    <row r="16" spans="1:26">
      <c r="A16">
        <v>17</v>
      </c>
      <c r="B16" s="3">
        <v>46242.422071759298</v>
      </c>
      <c r="C16" s="3">
        <v>46242.4288773148</v>
      </c>
      <c r="D16" s="4" t="s">
        <v>107</v>
      </c>
      <c r="E16" s="4" t="s">
        <v>108</v>
      </c>
      <c r="F16" s="4" t="s">
        <v>109</v>
      </c>
      <c r="G16" s="4" t="s">
        <v>110</v>
      </c>
      <c r="H16" s="4"/>
      <c r="I16" t="s">
        <v>111</v>
      </c>
      <c r="J16" s="1"/>
      <c r="K16" s="1"/>
      <c r="L16" s="4" t="s">
        <v>112</v>
      </c>
      <c r="M16" s="4"/>
      <c r="N16" s="4"/>
      <c r="O16" s="4"/>
      <c r="P16" s="4" t="s">
        <v>31</v>
      </c>
      <c r="Q16" s="4" t="s">
        <v>113</v>
      </c>
      <c r="R16" s="5"/>
      <c r="S16" s="2" t="s">
        <v>40</v>
      </c>
      <c r="T16" s="4"/>
      <c r="U16" s="4" t="s">
        <v>33</v>
      </c>
      <c r="V16" s="4"/>
      <c r="W16" s="4"/>
      <c r="X16" s="4"/>
      <c r="Y16" s="4"/>
      <c r="Z16" s="4"/>
    </row>
    <row r="17" spans="1:26">
      <c r="A17">
        <v>18</v>
      </c>
      <c r="B17" s="3">
        <v>46242.3507060185</v>
      </c>
      <c r="C17" s="3">
        <v>46242.433993055602</v>
      </c>
      <c r="D17" s="4" t="s">
        <v>114</v>
      </c>
      <c r="E17" s="4" t="s">
        <v>115</v>
      </c>
      <c r="F17" s="4" t="s">
        <v>115</v>
      </c>
      <c r="G17" s="4" t="s">
        <v>116</v>
      </c>
      <c r="H17" s="4"/>
      <c r="I17" t="s">
        <v>29</v>
      </c>
      <c r="J17" s="1"/>
      <c r="K17" s="1"/>
      <c r="L17" s="4" t="s">
        <v>105</v>
      </c>
      <c r="M17" s="4"/>
      <c r="N17" s="4"/>
      <c r="O17" s="4"/>
      <c r="P17" s="4" t="s">
        <v>31</v>
      </c>
      <c r="Q17" s="4" t="s">
        <v>117</v>
      </c>
      <c r="R17" s="5" t="s">
        <v>118</v>
      </c>
      <c r="S17" s="2" t="s">
        <v>40</v>
      </c>
      <c r="T17" s="4" t="s">
        <v>119</v>
      </c>
      <c r="U17" s="4" t="s">
        <v>73</v>
      </c>
      <c r="V17" s="4"/>
      <c r="W17" s="4"/>
      <c r="X17" s="4"/>
      <c r="Y17" s="4"/>
      <c r="Z17" s="4"/>
    </row>
    <row r="18" spans="1:26">
      <c r="A18">
        <v>19</v>
      </c>
      <c r="B18" s="3">
        <v>46242.754652777803</v>
      </c>
      <c r="C18" s="3">
        <v>46242.810856481497</v>
      </c>
      <c r="D18" s="4" t="s">
        <v>120</v>
      </c>
      <c r="E18" s="4" t="s">
        <v>121</v>
      </c>
      <c r="F18" s="4" t="s">
        <v>122</v>
      </c>
      <c r="G18" s="4" t="s">
        <v>123</v>
      </c>
      <c r="H18" s="4"/>
      <c r="I18" t="s">
        <v>65</v>
      </c>
      <c r="J18" s="1"/>
      <c r="K18" s="1"/>
      <c r="L18" s="4" t="s">
        <v>66</v>
      </c>
      <c r="M18" s="4"/>
      <c r="N18" s="4"/>
      <c r="O18" s="4"/>
      <c r="P18" s="4" t="s">
        <v>38</v>
      </c>
      <c r="Q18" s="4"/>
      <c r="R18" s="5"/>
      <c r="S18" s="2" t="s">
        <v>40</v>
      </c>
      <c r="T18" s="4"/>
      <c r="U18" s="4" t="s">
        <v>73</v>
      </c>
      <c r="V18" s="4"/>
      <c r="W18" s="4"/>
      <c r="X18" s="4"/>
      <c r="Y18" s="4"/>
      <c r="Z18" s="4"/>
    </row>
    <row r="19" spans="1:26">
      <c r="A19">
        <v>20</v>
      </c>
      <c r="B19" s="3">
        <v>46243.980740740699</v>
      </c>
      <c r="C19" s="3">
        <v>46243.995162036997</v>
      </c>
      <c r="D19" s="4" t="s">
        <v>124</v>
      </c>
      <c r="E19" s="4" t="s">
        <v>125</v>
      </c>
      <c r="F19" s="4" t="s">
        <v>125</v>
      </c>
      <c r="G19" s="4" t="s">
        <v>126</v>
      </c>
      <c r="H19" s="4"/>
      <c r="I19" t="s">
        <v>127</v>
      </c>
      <c r="J19" s="1"/>
      <c r="K19" s="1"/>
      <c r="L19" s="4" t="s">
        <v>96</v>
      </c>
      <c r="M19" s="4"/>
      <c r="N19" s="4"/>
      <c r="O19" s="4"/>
      <c r="P19" s="4" t="s">
        <v>31</v>
      </c>
      <c r="Q19" s="4" t="s">
        <v>128</v>
      </c>
      <c r="R19" s="5"/>
      <c r="S19" s="2" t="s">
        <v>40</v>
      </c>
      <c r="T19" s="4" t="s">
        <v>129</v>
      </c>
      <c r="U19" s="4" t="s">
        <v>73</v>
      </c>
      <c r="V19" s="4"/>
      <c r="W19" s="4"/>
      <c r="X19" s="4"/>
      <c r="Y19" s="4"/>
      <c r="Z19" s="4"/>
    </row>
    <row r="20" spans="1:26">
      <c r="A20">
        <v>21</v>
      </c>
      <c r="B20" s="3">
        <v>46244.346504629597</v>
      </c>
      <c r="C20" s="3">
        <v>46244.393645833297</v>
      </c>
      <c r="D20" s="4" t="s">
        <v>130</v>
      </c>
      <c r="E20" s="4" t="s">
        <v>131</v>
      </c>
      <c r="F20" s="4" t="s">
        <v>132</v>
      </c>
      <c r="G20" s="4" t="s">
        <v>133</v>
      </c>
      <c r="H20" s="4"/>
      <c r="I20" t="s">
        <v>37</v>
      </c>
      <c r="J20" s="1"/>
      <c r="K20" s="1"/>
      <c r="L20" s="4" t="s">
        <v>30</v>
      </c>
      <c r="M20" s="4"/>
      <c r="N20" s="4"/>
      <c r="O20" s="4"/>
      <c r="P20" s="4" t="s">
        <v>31</v>
      </c>
      <c r="Q20" s="4" t="s">
        <v>134</v>
      </c>
      <c r="R20" s="5" t="s">
        <v>135</v>
      </c>
      <c r="S20" s="2" t="s">
        <v>32</v>
      </c>
      <c r="T20" s="4" t="s">
        <v>135</v>
      </c>
      <c r="U20" s="4" t="s">
        <v>33</v>
      </c>
      <c r="V20" s="4"/>
      <c r="W20" s="4"/>
      <c r="X20" s="4"/>
      <c r="Y20" s="4"/>
      <c r="Z20" s="4"/>
    </row>
    <row r="21" spans="1:26">
      <c r="A21">
        <v>22</v>
      </c>
      <c r="B21" s="3">
        <v>46244.527789351901</v>
      </c>
      <c r="C21" s="3">
        <v>46244.529212963003</v>
      </c>
      <c r="D21" s="4" t="s">
        <v>136</v>
      </c>
      <c r="E21" s="4" t="s">
        <v>137</v>
      </c>
      <c r="F21" s="4" t="s">
        <v>138</v>
      </c>
      <c r="G21" s="4" t="s">
        <v>139</v>
      </c>
      <c r="H21" s="4"/>
      <c r="I21" t="s">
        <v>37</v>
      </c>
      <c r="J21" s="1"/>
      <c r="K21" s="1"/>
      <c r="L21" s="4" t="s">
        <v>140</v>
      </c>
      <c r="M21" s="4"/>
      <c r="N21" s="4"/>
      <c r="O21" s="4"/>
      <c r="P21" s="4" t="s">
        <v>38</v>
      </c>
      <c r="Q21" s="4"/>
      <c r="R21" s="5"/>
      <c r="S21" s="2" t="s">
        <v>40</v>
      </c>
      <c r="T21" s="4"/>
      <c r="U21" s="4" t="s">
        <v>73</v>
      </c>
      <c r="V21" s="4"/>
      <c r="W21" s="4"/>
      <c r="X21" s="4"/>
      <c r="Y21" s="4"/>
      <c r="Z21" s="4"/>
    </row>
    <row r="22" spans="1:26">
      <c r="A22">
        <v>23</v>
      </c>
      <c r="B22" s="3">
        <v>46244.574976851902</v>
      </c>
      <c r="C22" s="3">
        <v>46244.579502314802</v>
      </c>
      <c r="D22" s="4" t="s">
        <v>141</v>
      </c>
      <c r="E22" s="4" t="s">
        <v>142</v>
      </c>
      <c r="F22" s="4" t="s">
        <v>143</v>
      </c>
      <c r="G22" s="4" t="s">
        <v>144</v>
      </c>
      <c r="H22" s="4"/>
      <c r="I22" t="s">
        <v>37</v>
      </c>
      <c r="J22" s="1"/>
      <c r="K22" s="1"/>
      <c r="L22" s="4" t="s">
        <v>30</v>
      </c>
      <c r="M22" s="4"/>
      <c r="N22" s="4"/>
      <c r="O22" s="4"/>
      <c r="P22" s="4" t="s">
        <v>38</v>
      </c>
      <c r="Q22" s="4"/>
      <c r="R22" s="5"/>
      <c r="S22" s="2" t="s">
        <v>40</v>
      </c>
      <c r="T22" s="4"/>
      <c r="U22" s="4"/>
      <c r="V22" s="4"/>
      <c r="W22" s="4"/>
      <c r="X22" s="4"/>
      <c r="Y22" s="4"/>
      <c r="Z22" s="4"/>
    </row>
    <row r="23" spans="1:26">
      <c r="A23">
        <v>24</v>
      </c>
      <c r="B23" s="3">
        <v>46244.594317129602</v>
      </c>
      <c r="C23" s="3">
        <v>46244.612407407403</v>
      </c>
      <c r="D23" s="4" t="s">
        <v>145</v>
      </c>
      <c r="E23" s="4" t="s">
        <v>146</v>
      </c>
      <c r="F23" s="4" t="s">
        <v>146</v>
      </c>
      <c r="G23" s="4" t="s">
        <v>147</v>
      </c>
      <c r="H23" s="4"/>
      <c r="I23" t="s">
        <v>37</v>
      </c>
      <c r="J23" s="1"/>
      <c r="K23" s="1"/>
      <c r="L23" s="4" t="s">
        <v>148</v>
      </c>
      <c r="M23" s="4"/>
      <c r="N23" s="4"/>
      <c r="O23" s="4"/>
      <c r="P23" s="4" t="s">
        <v>38</v>
      </c>
      <c r="Q23" s="4"/>
      <c r="R23" s="5" t="s">
        <v>149</v>
      </c>
      <c r="S23" s="2" t="s">
        <v>40</v>
      </c>
      <c r="T23" s="4"/>
      <c r="U23" s="4" t="s">
        <v>73</v>
      </c>
      <c r="V23" s="4"/>
      <c r="W23" s="4"/>
      <c r="X23" s="4"/>
      <c r="Y23" s="4"/>
      <c r="Z23" s="4"/>
    </row>
    <row r="24" spans="1:26">
      <c r="A24">
        <v>25</v>
      </c>
      <c r="B24" s="3">
        <v>46244.597106481502</v>
      </c>
      <c r="C24" s="3">
        <v>46244.688067129602</v>
      </c>
      <c r="D24" s="4" t="s">
        <v>150</v>
      </c>
      <c r="E24" s="4" t="s">
        <v>151</v>
      </c>
      <c r="F24" s="4" t="s">
        <v>151</v>
      </c>
      <c r="G24" s="4" t="s">
        <v>152</v>
      </c>
      <c r="H24" s="4"/>
      <c r="I24" t="s">
        <v>37</v>
      </c>
      <c r="J24" s="1"/>
      <c r="K24" s="1"/>
      <c r="L24" s="4" t="s">
        <v>148</v>
      </c>
      <c r="M24" s="4"/>
      <c r="N24" s="4"/>
      <c r="O24" s="4"/>
      <c r="P24" s="4" t="s">
        <v>38</v>
      </c>
      <c r="Q24" s="4"/>
      <c r="R24" s="5" t="s">
        <v>153</v>
      </c>
      <c r="S24" s="2" t="s">
        <v>40</v>
      </c>
      <c r="T24" s="4"/>
      <c r="U24" s="4" t="s">
        <v>73</v>
      </c>
      <c r="V24" s="4"/>
      <c r="W24" s="4"/>
      <c r="X24" s="4"/>
      <c r="Y24" s="4"/>
      <c r="Z24" s="4"/>
    </row>
    <row r="25" spans="1:26">
      <c r="A25">
        <v>26</v>
      </c>
      <c r="B25" s="3">
        <v>46244.681412037004</v>
      </c>
      <c r="C25" s="3">
        <v>46244.690370370401</v>
      </c>
      <c r="D25" s="4" t="s">
        <v>154</v>
      </c>
      <c r="E25" s="4" t="s">
        <v>155</v>
      </c>
      <c r="F25" s="4" t="s">
        <v>155</v>
      </c>
      <c r="G25" s="4" t="s">
        <v>156</v>
      </c>
      <c r="H25" s="4"/>
      <c r="I25" t="s">
        <v>37</v>
      </c>
      <c r="J25" s="1"/>
      <c r="K25" s="1"/>
      <c r="L25" s="4" t="s">
        <v>30</v>
      </c>
      <c r="M25" s="4"/>
      <c r="N25" s="4"/>
      <c r="O25" s="4"/>
      <c r="P25" s="4" t="s">
        <v>38</v>
      </c>
      <c r="Q25" s="4"/>
      <c r="R25" s="5" t="s">
        <v>157</v>
      </c>
      <c r="S25" s="2" t="s">
        <v>40</v>
      </c>
      <c r="T25" s="4"/>
      <c r="U25" s="4" t="s">
        <v>73</v>
      </c>
      <c r="V25" s="4"/>
      <c r="W25" s="4"/>
      <c r="X25" s="4"/>
      <c r="Y25" s="4"/>
      <c r="Z25" s="4"/>
    </row>
    <row r="26" spans="1:26">
      <c r="A26">
        <v>27</v>
      </c>
      <c r="B26" s="3">
        <v>46244.714502314797</v>
      </c>
      <c r="C26" s="3">
        <v>46244.718530092599</v>
      </c>
      <c r="D26" s="4" t="s">
        <v>158</v>
      </c>
      <c r="E26" s="4" t="s">
        <v>159</v>
      </c>
      <c r="F26" s="4" t="s">
        <v>159</v>
      </c>
      <c r="G26" s="4" t="s">
        <v>160</v>
      </c>
      <c r="H26" s="4"/>
      <c r="I26" t="s">
        <v>37</v>
      </c>
      <c r="J26" s="1"/>
      <c r="K26" s="1"/>
      <c r="L26" s="4" t="s">
        <v>30</v>
      </c>
      <c r="M26" s="4"/>
      <c r="N26" s="4"/>
      <c r="O26" s="4"/>
      <c r="P26" s="4" t="s">
        <v>38</v>
      </c>
      <c r="Q26" s="4"/>
      <c r="R26" s="5" t="s">
        <v>161</v>
      </c>
      <c r="S26" s="2" t="s">
        <v>40</v>
      </c>
      <c r="T26" s="4"/>
      <c r="U26" s="4" t="s">
        <v>73</v>
      </c>
      <c r="V26" s="4"/>
      <c r="W26" s="4"/>
      <c r="X26" s="4"/>
      <c r="Y26" s="4"/>
      <c r="Z26" s="4"/>
    </row>
    <row r="27" spans="1:26">
      <c r="A27">
        <v>28</v>
      </c>
      <c r="B27" s="3">
        <v>46244.728171296301</v>
      </c>
      <c r="C27" s="3">
        <v>46244.728703703702</v>
      </c>
      <c r="D27" s="4" t="s">
        <v>162</v>
      </c>
      <c r="E27" s="4" t="s">
        <v>163</v>
      </c>
      <c r="F27" s="4" t="s">
        <v>164</v>
      </c>
      <c r="G27" s="4" t="s">
        <v>162</v>
      </c>
      <c r="H27" s="4"/>
      <c r="I27" t="s">
        <v>37</v>
      </c>
      <c r="J27" s="1"/>
      <c r="K27" s="1"/>
      <c r="L27" s="4" t="s">
        <v>30</v>
      </c>
      <c r="M27" s="4"/>
      <c r="N27" s="4"/>
      <c r="O27" s="4"/>
      <c r="P27" s="4" t="s">
        <v>38</v>
      </c>
      <c r="Q27" s="4"/>
      <c r="R27" s="5"/>
      <c r="S27" s="2" t="s">
        <v>40</v>
      </c>
      <c r="T27" s="4"/>
      <c r="U27" s="4"/>
      <c r="V27" s="4"/>
      <c r="W27" s="4"/>
      <c r="X27" s="4"/>
      <c r="Y27" s="4"/>
      <c r="Z27" s="4"/>
    </row>
    <row r="28" spans="1:26">
      <c r="A28">
        <v>29</v>
      </c>
      <c r="B28" s="3">
        <v>46244.725497685198</v>
      </c>
      <c r="C28" s="3">
        <v>46244.729988425897</v>
      </c>
      <c r="D28" s="4" t="s">
        <v>165</v>
      </c>
      <c r="E28" s="4" t="s">
        <v>166</v>
      </c>
      <c r="F28" s="4" t="s">
        <v>166</v>
      </c>
      <c r="G28" s="4" t="s">
        <v>167</v>
      </c>
      <c r="H28" s="4"/>
      <c r="I28" t="s">
        <v>37</v>
      </c>
      <c r="J28" s="1"/>
      <c r="K28" s="1"/>
      <c r="L28" s="4" t="s">
        <v>30</v>
      </c>
      <c r="M28" s="4"/>
      <c r="N28" s="4"/>
      <c r="O28" s="4"/>
      <c r="P28" s="4" t="s">
        <v>38</v>
      </c>
      <c r="Q28" s="4"/>
      <c r="R28" s="5"/>
      <c r="S28" s="2" t="s">
        <v>40</v>
      </c>
      <c r="T28" s="4"/>
      <c r="U28" s="4"/>
      <c r="V28" s="4"/>
      <c r="W28" s="4"/>
      <c r="X28" s="4"/>
      <c r="Y28" s="4"/>
      <c r="Z28" s="4"/>
    </row>
    <row r="29" spans="1:26">
      <c r="A29">
        <v>30</v>
      </c>
      <c r="B29" s="3">
        <v>46244.717662037001</v>
      </c>
      <c r="C29" s="3">
        <v>46244.733935185199</v>
      </c>
      <c r="D29" s="6" t="s">
        <v>168</v>
      </c>
      <c r="E29" s="4" t="s">
        <v>169</v>
      </c>
      <c r="F29" s="4" t="s">
        <v>169</v>
      </c>
      <c r="G29" s="4" t="s">
        <v>170</v>
      </c>
      <c r="H29" s="4"/>
      <c r="I29" t="s">
        <v>37</v>
      </c>
      <c r="J29" s="1"/>
      <c r="K29" s="1"/>
      <c r="L29" s="4" t="s">
        <v>30</v>
      </c>
      <c r="M29" s="4"/>
      <c r="N29" s="4"/>
      <c r="O29" s="4"/>
      <c r="P29" s="4" t="s">
        <v>38</v>
      </c>
      <c r="Q29" s="4"/>
      <c r="R29" s="5" t="s">
        <v>171</v>
      </c>
      <c r="S29" s="2" t="s">
        <v>40</v>
      </c>
      <c r="T29" s="4"/>
      <c r="U29" s="4" t="s">
        <v>73</v>
      </c>
      <c r="V29" s="4"/>
      <c r="W29" s="4"/>
      <c r="X29" s="4"/>
      <c r="Y29" s="4"/>
      <c r="Z29" s="4"/>
    </row>
    <row r="30" spans="1:26">
      <c r="A30">
        <v>31</v>
      </c>
      <c r="B30" s="3">
        <v>46244.717546296299</v>
      </c>
      <c r="C30" s="3">
        <v>46244.734027777798</v>
      </c>
      <c r="D30" s="4" t="s">
        <v>172</v>
      </c>
      <c r="E30" s="4" t="s">
        <v>173</v>
      </c>
      <c r="F30" s="4" t="s">
        <v>173</v>
      </c>
      <c r="G30" s="4" t="s">
        <v>174</v>
      </c>
      <c r="H30" s="4"/>
      <c r="I30" t="s">
        <v>37</v>
      </c>
      <c r="J30" s="1"/>
      <c r="K30" s="1"/>
      <c r="L30" s="4" t="s">
        <v>30</v>
      </c>
      <c r="M30" s="4"/>
      <c r="N30" s="4"/>
      <c r="O30" s="4"/>
      <c r="P30" s="4" t="s">
        <v>38</v>
      </c>
      <c r="Q30" s="4"/>
      <c r="R30" s="5" t="s">
        <v>175</v>
      </c>
      <c r="S30" s="2" t="s">
        <v>40</v>
      </c>
      <c r="T30" s="4"/>
      <c r="U30" s="4" t="s">
        <v>73</v>
      </c>
      <c r="V30" s="4"/>
      <c r="W30" s="4"/>
      <c r="X30" s="4"/>
      <c r="Y30" s="4"/>
      <c r="Z30" s="4"/>
    </row>
    <row r="31" spans="1:26">
      <c r="A31">
        <v>32</v>
      </c>
      <c r="B31" s="3">
        <v>46244.735335648104</v>
      </c>
      <c r="C31" s="3">
        <v>46244.736168981501</v>
      </c>
      <c r="D31" s="4" t="s">
        <v>176</v>
      </c>
      <c r="E31" s="4" t="s">
        <v>177</v>
      </c>
      <c r="F31" s="4" t="s">
        <v>177</v>
      </c>
      <c r="G31" s="4" t="s">
        <v>178</v>
      </c>
      <c r="H31" s="4"/>
      <c r="I31" t="s">
        <v>37</v>
      </c>
      <c r="J31" s="1"/>
      <c r="K31" s="1"/>
      <c r="L31" s="4" t="s">
        <v>30</v>
      </c>
      <c r="M31" s="4"/>
      <c r="N31" s="4"/>
      <c r="O31" s="4"/>
      <c r="P31" s="4" t="s">
        <v>38</v>
      </c>
      <c r="Q31" s="4"/>
      <c r="R31" s="5"/>
      <c r="S31" s="2" t="s">
        <v>40</v>
      </c>
      <c r="T31" s="4"/>
      <c r="U31" s="4" t="s">
        <v>73</v>
      </c>
      <c r="V31" s="4"/>
      <c r="W31" s="4"/>
      <c r="X31" s="4"/>
      <c r="Y31" s="4"/>
      <c r="Z31" s="4"/>
    </row>
    <row r="32" spans="1:26">
      <c r="A32">
        <v>33</v>
      </c>
      <c r="B32" s="3">
        <v>46244.726261574098</v>
      </c>
      <c r="C32" s="3">
        <v>46244.736377314803</v>
      </c>
      <c r="D32" s="4" t="s">
        <v>179</v>
      </c>
      <c r="E32" s="4" t="s">
        <v>180</v>
      </c>
      <c r="F32" s="4" t="s">
        <v>180</v>
      </c>
      <c r="G32" s="4" t="s">
        <v>179</v>
      </c>
      <c r="H32" s="4"/>
      <c r="I32" t="s">
        <v>37</v>
      </c>
      <c r="J32" s="1"/>
      <c r="K32" s="1"/>
      <c r="L32" s="4" t="s">
        <v>30</v>
      </c>
      <c r="M32" s="4"/>
      <c r="N32" s="4"/>
      <c r="O32" s="4"/>
      <c r="P32" s="4" t="s">
        <v>38</v>
      </c>
      <c r="Q32" s="4"/>
      <c r="R32" s="5" t="s">
        <v>181</v>
      </c>
      <c r="S32" s="2" t="s">
        <v>40</v>
      </c>
      <c r="T32" s="4"/>
      <c r="U32" s="4" t="s">
        <v>73</v>
      </c>
      <c r="V32" s="4"/>
      <c r="W32" s="4"/>
      <c r="X32" s="4"/>
      <c r="Y32" s="4"/>
      <c r="Z32" s="4"/>
    </row>
    <row r="33" spans="1:26">
      <c r="A33">
        <v>34</v>
      </c>
      <c r="B33" s="3">
        <v>46244.736006944397</v>
      </c>
      <c r="C33" s="3">
        <v>46244.7511226852</v>
      </c>
      <c r="D33" s="4" t="s">
        <v>182</v>
      </c>
      <c r="E33" s="4" t="s">
        <v>183</v>
      </c>
      <c r="F33" s="4" t="s">
        <v>183</v>
      </c>
      <c r="G33" s="4" t="s">
        <v>184</v>
      </c>
      <c r="H33" s="4"/>
      <c r="I33" t="s">
        <v>29</v>
      </c>
      <c r="J33" s="1"/>
      <c r="K33" s="1"/>
      <c r="L33" s="4" t="s">
        <v>105</v>
      </c>
      <c r="M33" s="4"/>
      <c r="N33" s="4"/>
      <c r="O33" s="4"/>
      <c r="P33" s="4" t="s">
        <v>31</v>
      </c>
      <c r="Q33" s="4" t="s">
        <v>185</v>
      </c>
      <c r="R33" s="5" t="s">
        <v>186</v>
      </c>
      <c r="S33" s="2" t="s">
        <v>32</v>
      </c>
      <c r="T33" s="4"/>
      <c r="U33" s="4" t="s">
        <v>33</v>
      </c>
      <c r="V33" s="4"/>
      <c r="W33" s="4"/>
      <c r="X33" s="4"/>
      <c r="Y33" s="4"/>
      <c r="Z33" s="4"/>
    </row>
    <row r="34" spans="1:26">
      <c r="A34">
        <v>35</v>
      </c>
      <c r="B34" s="3">
        <v>46244.747974537</v>
      </c>
      <c r="C34" s="3">
        <v>46244.752476851798</v>
      </c>
      <c r="D34" s="6" t="s">
        <v>187</v>
      </c>
      <c r="E34" s="4" t="s">
        <v>188</v>
      </c>
      <c r="F34" s="4" t="s">
        <v>189</v>
      </c>
      <c r="G34" s="4" t="s">
        <v>190</v>
      </c>
      <c r="H34" s="4"/>
      <c r="I34" t="s">
        <v>29</v>
      </c>
      <c r="J34" s="1"/>
      <c r="K34" s="1"/>
      <c r="L34" s="4" t="s">
        <v>105</v>
      </c>
      <c r="M34" s="4"/>
      <c r="N34" s="4"/>
      <c r="O34" s="4"/>
      <c r="P34" s="4" t="s">
        <v>31</v>
      </c>
      <c r="Q34" s="4" t="s">
        <v>191</v>
      </c>
      <c r="R34" s="5" t="s">
        <v>192</v>
      </c>
      <c r="S34" s="2" t="s">
        <v>32</v>
      </c>
      <c r="T34" s="4"/>
      <c r="U34" s="4" t="s">
        <v>33</v>
      </c>
      <c r="V34" s="4"/>
      <c r="W34" s="4"/>
      <c r="X34" s="4"/>
      <c r="Y34" s="4"/>
      <c r="Z34" s="4"/>
    </row>
    <row r="35" spans="1:26">
      <c r="A35">
        <v>36</v>
      </c>
      <c r="B35" s="3">
        <v>46244.715601851902</v>
      </c>
      <c r="C35" s="3">
        <v>46244.766284722202</v>
      </c>
      <c r="D35" s="4" t="s">
        <v>193</v>
      </c>
      <c r="E35" s="4" t="s">
        <v>194</v>
      </c>
      <c r="F35" s="4" t="s">
        <v>194</v>
      </c>
      <c r="G35" s="4" t="s">
        <v>195</v>
      </c>
      <c r="H35" s="4"/>
      <c r="I35" t="s">
        <v>37</v>
      </c>
      <c r="J35" s="1"/>
      <c r="K35" s="1"/>
      <c r="L35" s="4" t="s">
        <v>30</v>
      </c>
      <c r="M35" s="4"/>
      <c r="N35" s="4"/>
      <c r="O35" s="4"/>
      <c r="P35" s="4" t="s">
        <v>38</v>
      </c>
      <c r="Q35" s="4"/>
      <c r="R35" s="5"/>
      <c r="S35" s="2" t="s">
        <v>40</v>
      </c>
      <c r="T35" s="4"/>
      <c r="U35" s="4" t="s">
        <v>73</v>
      </c>
      <c r="V35" s="4"/>
      <c r="W35" s="4"/>
      <c r="X35" s="4"/>
      <c r="Y35" s="4"/>
      <c r="Z35" s="4"/>
    </row>
    <row r="36" spans="1:26">
      <c r="A36">
        <v>37</v>
      </c>
      <c r="B36" s="3">
        <v>46244.764525462997</v>
      </c>
      <c r="C36" s="3">
        <v>46244.768472222197</v>
      </c>
      <c r="D36" s="4" t="s">
        <v>196</v>
      </c>
      <c r="E36" s="4" t="s">
        <v>197</v>
      </c>
      <c r="F36" s="4" t="s">
        <v>197</v>
      </c>
      <c r="G36" s="4" t="s">
        <v>198</v>
      </c>
      <c r="H36" s="4"/>
      <c r="I36" t="s">
        <v>37</v>
      </c>
      <c r="J36" s="1"/>
      <c r="K36" s="1"/>
      <c r="L36" s="4" t="s">
        <v>148</v>
      </c>
      <c r="M36" s="4"/>
      <c r="N36" s="4"/>
      <c r="O36" s="4"/>
      <c r="P36" s="4" t="s">
        <v>38</v>
      </c>
      <c r="Q36" s="4"/>
      <c r="R36" s="5"/>
      <c r="S36" s="2" t="s">
        <v>40</v>
      </c>
      <c r="T36" s="4"/>
      <c r="U36" s="4"/>
      <c r="V36" s="4"/>
      <c r="W36" s="4"/>
      <c r="X36" s="4"/>
      <c r="Y36" s="4"/>
      <c r="Z36" s="4"/>
    </row>
    <row r="37" spans="1:26">
      <c r="A37">
        <v>38</v>
      </c>
      <c r="B37" s="3">
        <v>46244.758125</v>
      </c>
      <c r="C37" s="3">
        <v>46244.7727199074</v>
      </c>
      <c r="D37" s="4" t="s">
        <v>199</v>
      </c>
      <c r="E37" s="4" t="s">
        <v>200</v>
      </c>
      <c r="F37" s="4" t="s">
        <v>200</v>
      </c>
      <c r="G37" s="4" t="s">
        <v>201</v>
      </c>
      <c r="H37" s="4"/>
      <c r="I37" t="s">
        <v>37</v>
      </c>
      <c r="J37" s="1"/>
      <c r="K37" s="1"/>
      <c r="L37" s="4" t="s">
        <v>148</v>
      </c>
      <c r="M37" s="4"/>
      <c r="N37" s="4"/>
      <c r="O37" s="4"/>
      <c r="P37" s="4" t="s">
        <v>38</v>
      </c>
      <c r="Q37" s="4" t="s">
        <v>202</v>
      </c>
      <c r="R37" s="5" t="s">
        <v>203</v>
      </c>
      <c r="S37" s="2" t="s">
        <v>40</v>
      </c>
      <c r="T37" s="4"/>
      <c r="U37" s="4" t="s">
        <v>73</v>
      </c>
      <c r="V37" s="4"/>
      <c r="W37" s="4"/>
      <c r="X37" s="4"/>
      <c r="Y37" s="4"/>
      <c r="Z37" s="4"/>
    </row>
    <row r="38" spans="1:26">
      <c r="A38">
        <v>39</v>
      </c>
      <c r="B38" s="3">
        <v>46244.756851851896</v>
      </c>
      <c r="C38" s="3">
        <v>46244.786423611098</v>
      </c>
      <c r="D38" s="4" t="s">
        <v>204</v>
      </c>
      <c r="E38" s="4" t="s">
        <v>205</v>
      </c>
      <c r="F38" s="4" t="s">
        <v>205</v>
      </c>
      <c r="G38" s="4" t="s">
        <v>206</v>
      </c>
      <c r="H38" s="4"/>
      <c r="I38" t="s">
        <v>37</v>
      </c>
      <c r="J38" s="1"/>
      <c r="K38" s="1"/>
      <c r="L38" s="4" t="s">
        <v>148</v>
      </c>
      <c r="M38" s="4"/>
      <c r="N38" s="4"/>
      <c r="O38" s="4"/>
      <c r="P38" s="4" t="s">
        <v>38</v>
      </c>
      <c r="Q38" s="4" t="s">
        <v>207</v>
      </c>
      <c r="R38" s="5" t="s">
        <v>208</v>
      </c>
      <c r="S38" s="2" t="s">
        <v>40</v>
      </c>
      <c r="T38" s="4"/>
      <c r="U38" s="4" t="s">
        <v>73</v>
      </c>
      <c r="V38" s="4"/>
      <c r="W38" s="4"/>
      <c r="X38" s="4"/>
      <c r="Y38" s="4"/>
      <c r="Z38" s="4"/>
    </row>
    <row r="39" spans="1:26">
      <c r="A39">
        <v>40</v>
      </c>
      <c r="B39" s="3">
        <v>46244.796643518501</v>
      </c>
      <c r="C39" s="3">
        <v>46244.799803240698</v>
      </c>
      <c r="D39" s="4" t="s">
        <v>209</v>
      </c>
      <c r="E39" s="4" t="s">
        <v>210</v>
      </c>
      <c r="F39" s="4" t="s">
        <v>210</v>
      </c>
      <c r="G39" s="4" t="s">
        <v>211</v>
      </c>
      <c r="H39" s="4"/>
      <c r="I39" t="s">
        <v>29</v>
      </c>
      <c r="J39" s="1"/>
      <c r="K39" s="1"/>
      <c r="L39" s="4" t="s">
        <v>212</v>
      </c>
      <c r="M39" s="4"/>
      <c r="N39" s="4"/>
      <c r="O39" s="4"/>
      <c r="P39" s="4" t="s">
        <v>31</v>
      </c>
      <c r="Q39" s="4" t="s">
        <v>213</v>
      </c>
      <c r="R39" s="5" t="s">
        <v>214</v>
      </c>
      <c r="S39" s="2" t="s">
        <v>40</v>
      </c>
      <c r="T39" s="4"/>
      <c r="U39" s="4" t="s">
        <v>33</v>
      </c>
      <c r="V39" s="4"/>
      <c r="W39" s="4"/>
      <c r="X39" s="4"/>
      <c r="Y39" s="4"/>
      <c r="Z39" s="4"/>
    </row>
    <row r="40" spans="1:26">
      <c r="A40">
        <v>41</v>
      </c>
      <c r="B40" s="3">
        <v>46244.824803240699</v>
      </c>
      <c r="C40" s="3">
        <v>46244.839756944399</v>
      </c>
      <c r="D40" s="4" t="s">
        <v>215</v>
      </c>
      <c r="E40" s="4" t="s">
        <v>216</v>
      </c>
      <c r="F40" s="4" t="s">
        <v>216</v>
      </c>
      <c r="G40" s="4" t="s">
        <v>217</v>
      </c>
      <c r="H40" s="4"/>
      <c r="I40" t="s">
        <v>65</v>
      </c>
      <c r="J40" s="1"/>
      <c r="K40" s="1"/>
      <c r="L40" s="4" t="s">
        <v>66</v>
      </c>
      <c r="M40" s="4"/>
      <c r="N40" s="4"/>
      <c r="O40" s="4"/>
      <c r="P40" s="4" t="s">
        <v>38</v>
      </c>
      <c r="Q40" s="4"/>
      <c r="R40" s="5" t="s">
        <v>218</v>
      </c>
      <c r="S40" s="2" t="s">
        <v>40</v>
      </c>
      <c r="T40" s="4"/>
      <c r="U40" s="4" t="s">
        <v>73</v>
      </c>
      <c r="V40" s="4"/>
      <c r="W40" s="4"/>
      <c r="X40" s="4"/>
      <c r="Y40" s="4"/>
      <c r="Z40" s="4"/>
    </row>
    <row r="41" spans="1:26">
      <c r="A41">
        <v>42</v>
      </c>
      <c r="B41" s="3">
        <v>46244.980671296304</v>
      </c>
      <c r="C41" s="3">
        <v>46244.9898958333</v>
      </c>
      <c r="D41" s="4" t="s">
        <v>219</v>
      </c>
      <c r="E41" s="4" t="s">
        <v>220</v>
      </c>
      <c r="F41" s="4" t="s">
        <v>220</v>
      </c>
      <c r="G41" s="4" t="s">
        <v>221</v>
      </c>
      <c r="H41" s="4"/>
      <c r="I41" t="s">
        <v>65</v>
      </c>
      <c r="J41" s="1"/>
      <c r="K41" s="1"/>
      <c r="L41" s="4" t="s">
        <v>66</v>
      </c>
      <c r="M41" s="4"/>
      <c r="N41" s="4"/>
      <c r="O41" s="4"/>
      <c r="P41" s="4" t="s">
        <v>38</v>
      </c>
      <c r="Q41" s="4" t="s">
        <v>222</v>
      </c>
      <c r="R41" s="5" t="s">
        <v>223</v>
      </c>
      <c r="S41" s="2" t="s">
        <v>40</v>
      </c>
      <c r="T41" s="4" t="s">
        <v>224</v>
      </c>
      <c r="U41" s="4" t="s">
        <v>33</v>
      </c>
      <c r="V41" s="4"/>
      <c r="W41" s="4"/>
      <c r="X41" s="4"/>
      <c r="Y41" s="4"/>
      <c r="Z41" s="4"/>
    </row>
    <row r="42" spans="1:26">
      <c r="A42">
        <v>43</v>
      </c>
      <c r="B42" s="3">
        <v>46244.966180555602</v>
      </c>
      <c r="C42" s="3">
        <v>46244.994861111103</v>
      </c>
      <c r="D42" s="4" t="s">
        <v>225</v>
      </c>
      <c r="E42" s="4" t="s">
        <v>226</v>
      </c>
      <c r="F42" s="4" t="s">
        <v>226</v>
      </c>
      <c r="G42" s="4" t="s">
        <v>225</v>
      </c>
      <c r="H42" s="4"/>
      <c r="I42" t="s">
        <v>37</v>
      </c>
      <c r="J42" s="1"/>
      <c r="K42" s="1"/>
      <c r="L42" s="4" t="s">
        <v>30</v>
      </c>
      <c r="M42" s="4"/>
      <c r="N42" s="4"/>
      <c r="O42" s="4"/>
      <c r="P42" s="4" t="s">
        <v>38</v>
      </c>
      <c r="Q42" s="4"/>
      <c r="R42" s="5" t="s">
        <v>227</v>
      </c>
      <c r="S42" s="2" t="s">
        <v>40</v>
      </c>
      <c r="T42" s="4"/>
      <c r="U42" s="4" t="s">
        <v>73</v>
      </c>
      <c r="V42" s="4"/>
      <c r="W42" s="4"/>
      <c r="X42" s="4"/>
      <c r="Y42" s="4"/>
      <c r="Z42" s="4"/>
    </row>
    <row r="43" spans="1:26">
      <c r="A43">
        <v>44</v>
      </c>
      <c r="B43" s="3">
        <v>46245.024074074099</v>
      </c>
      <c r="C43" s="3">
        <v>46245.024722222202</v>
      </c>
      <c r="D43" s="4" t="s">
        <v>228</v>
      </c>
      <c r="E43" s="4" t="s">
        <v>229</v>
      </c>
      <c r="F43" s="4" t="s">
        <v>229</v>
      </c>
      <c r="G43" s="4" t="s">
        <v>230</v>
      </c>
      <c r="H43" s="4"/>
      <c r="I43" t="s">
        <v>37</v>
      </c>
      <c r="J43" s="1"/>
      <c r="K43" s="1"/>
      <c r="L43" s="4" t="s">
        <v>30</v>
      </c>
      <c r="M43" s="4"/>
      <c r="N43" s="4"/>
      <c r="O43" s="4"/>
      <c r="P43" s="4" t="s">
        <v>38</v>
      </c>
      <c r="Q43" s="4"/>
      <c r="R43" s="5"/>
      <c r="S43" s="2" t="s">
        <v>40</v>
      </c>
      <c r="T43" s="4"/>
      <c r="U43" s="4"/>
      <c r="V43" s="4"/>
      <c r="W43" s="4"/>
      <c r="X43" s="4"/>
      <c r="Y43" s="4"/>
      <c r="Z43" s="4"/>
    </row>
    <row r="44" spans="1:26">
      <c r="A44">
        <v>45</v>
      </c>
      <c r="B44" s="3">
        <v>46245.083680555603</v>
      </c>
      <c r="C44" s="3">
        <v>46245.086446759298</v>
      </c>
      <c r="D44" s="4" t="s">
        <v>231</v>
      </c>
      <c r="E44" s="4" t="s">
        <v>232</v>
      </c>
      <c r="F44" s="4" t="s">
        <v>233</v>
      </c>
      <c r="G44" s="4" t="s">
        <v>234</v>
      </c>
      <c r="H44" s="4"/>
      <c r="I44" t="s">
        <v>37</v>
      </c>
      <c r="J44" s="1"/>
      <c r="K44" s="1"/>
      <c r="L44" s="4" t="s">
        <v>30</v>
      </c>
      <c r="M44" s="4"/>
      <c r="N44" s="4"/>
      <c r="O44" s="4"/>
      <c r="P44" s="4" t="s">
        <v>31</v>
      </c>
      <c r="Q44" s="4" t="s">
        <v>235</v>
      </c>
      <c r="R44" s="5" t="s">
        <v>236</v>
      </c>
      <c r="S44" s="2" t="s">
        <v>32</v>
      </c>
      <c r="T44" s="4"/>
      <c r="U44" s="4" t="s">
        <v>33</v>
      </c>
      <c r="V44" s="4"/>
      <c r="W44" s="4"/>
      <c r="X44" s="4"/>
      <c r="Y44" s="4"/>
      <c r="Z44" s="4"/>
    </row>
    <row r="45" spans="1:26">
      <c r="A45">
        <v>46</v>
      </c>
      <c r="B45" s="3">
        <v>46245.093773148197</v>
      </c>
      <c r="C45" s="3">
        <v>46245.094861111102</v>
      </c>
      <c r="D45" s="4" t="s">
        <v>237</v>
      </c>
      <c r="E45" s="4" t="s">
        <v>238</v>
      </c>
      <c r="F45" s="4" t="s">
        <v>238</v>
      </c>
      <c r="G45" s="4" t="s">
        <v>237</v>
      </c>
      <c r="H45" s="4"/>
      <c r="I45" t="s">
        <v>37</v>
      </c>
      <c r="J45" s="1"/>
      <c r="K45" s="1"/>
      <c r="L45" s="4" t="s">
        <v>140</v>
      </c>
      <c r="M45" s="4"/>
      <c r="N45" s="4"/>
      <c r="O45" s="4"/>
      <c r="P45" s="4" t="s">
        <v>38</v>
      </c>
      <c r="Q45" s="4" t="s">
        <v>239</v>
      </c>
      <c r="R45" s="5" t="s">
        <v>240</v>
      </c>
      <c r="S45" s="2" t="s">
        <v>40</v>
      </c>
      <c r="T45" s="4" t="s">
        <v>241</v>
      </c>
      <c r="U45" s="4" t="s">
        <v>73</v>
      </c>
      <c r="V45" s="4"/>
      <c r="W45" s="4"/>
      <c r="X45" s="4"/>
      <c r="Y45" s="4"/>
      <c r="Z45" s="4"/>
    </row>
    <row r="46" spans="1:26">
      <c r="A46">
        <v>47</v>
      </c>
      <c r="B46" s="3">
        <v>46245.113831018498</v>
      </c>
      <c r="C46" s="3">
        <v>46245.116157407399</v>
      </c>
      <c r="D46" s="4" t="s">
        <v>242</v>
      </c>
      <c r="E46" s="4" t="s">
        <v>243</v>
      </c>
      <c r="F46" s="4" t="s">
        <v>243</v>
      </c>
      <c r="G46" s="4" t="s">
        <v>244</v>
      </c>
      <c r="H46" s="4"/>
      <c r="I46" t="s">
        <v>245</v>
      </c>
      <c r="J46" s="1"/>
      <c r="K46" s="1"/>
      <c r="L46" s="4" t="s">
        <v>66</v>
      </c>
      <c r="M46" s="4"/>
      <c r="N46" s="4"/>
      <c r="O46" s="4"/>
      <c r="P46" s="4" t="s">
        <v>31</v>
      </c>
      <c r="Q46" s="4" t="s">
        <v>246</v>
      </c>
      <c r="R46" s="5"/>
      <c r="S46" s="2" t="s">
        <v>32</v>
      </c>
      <c r="T46" s="4"/>
      <c r="U46" s="4" t="s">
        <v>247</v>
      </c>
      <c r="V46" s="4"/>
      <c r="W46" s="4"/>
      <c r="X46" s="4"/>
      <c r="Y46" s="4"/>
      <c r="Z46" s="4"/>
    </row>
    <row r="47" spans="1:26">
      <c r="A47">
        <v>48</v>
      </c>
      <c r="B47" s="3">
        <v>46245.529826388898</v>
      </c>
      <c r="C47" s="3">
        <v>46245.557199074101</v>
      </c>
      <c r="D47" s="4" t="s">
        <v>248</v>
      </c>
      <c r="E47" s="4" t="s">
        <v>249</v>
      </c>
      <c r="F47" s="4" t="s">
        <v>250</v>
      </c>
      <c r="G47" s="4" t="s">
        <v>251</v>
      </c>
      <c r="H47" s="4"/>
      <c r="I47" t="s">
        <v>111</v>
      </c>
      <c r="J47" s="1"/>
      <c r="K47" s="1"/>
      <c r="L47" s="4" t="s">
        <v>252</v>
      </c>
      <c r="M47" s="4"/>
      <c r="N47" s="4"/>
      <c r="O47" s="4"/>
      <c r="P47" s="4" t="s">
        <v>31</v>
      </c>
      <c r="Q47" s="4" t="s">
        <v>253</v>
      </c>
      <c r="R47" s="5" t="s">
        <v>254</v>
      </c>
      <c r="S47" s="2" t="s">
        <v>40</v>
      </c>
      <c r="T47" s="4"/>
      <c r="U47" s="4" t="s">
        <v>73</v>
      </c>
      <c r="V47" s="4"/>
      <c r="W47" s="4"/>
      <c r="X47" s="4"/>
      <c r="Y47" s="4"/>
      <c r="Z47" s="4"/>
    </row>
    <row r="48" spans="1:26">
      <c r="A48">
        <v>49</v>
      </c>
      <c r="B48" s="3">
        <v>46245.592291666697</v>
      </c>
      <c r="C48" s="3">
        <v>46245.646921296298</v>
      </c>
      <c r="D48" s="4" t="s">
        <v>255</v>
      </c>
      <c r="E48" s="4" t="s">
        <v>256</v>
      </c>
      <c r="F48" s="4" t="s">
        <v>256</v>
      </c>
      <c r="G48" s="4" t="s">
        <v>257</v>
      </c>
      <c r="H48" s="4"/>
      <c r="I48" t="s">
        <v>245</v>
      </c>
      <c r="J48" s="1"/>
      <c r="K48" s="1"/>
      <c r="L48" s="4" t="s">
        <v>258</v>
      </c>
      <c r="M48" s="4"/>
      <c r="N48" s="4"/>
      <c r="O48" s="4"/>
      <c r="P48" s="4" t="s">
        <v>31</v>
      </c>
      <c r="Q48" s="4" t="s">
        <v>259</v>
      </c>
      <c r="R48" s="5"/>
      <c r="S48" s="2" t="s">
        <v>32</v>
      </c>
      <c r="T48" s="4"/>
      <c r="U48" s="4" t="s">
        <v>57</v>
      </c>
      <c r="V48" s="4"/>
      <c r="W48" s="4"/>
      <c r="X48" s="4"/>
      <c r="Y48" s="4"/>
      <c r="Z48" s="4"/>
    </row>
    <row r="49" spans="1:26">
      <c r="A49">
        <v>50</v>
      </c>
      <c r="B49" s="3">
        <v>46245.732905092598</v>
      </c>
      <c r="C49" s="3">
        <v>46245.7335648148</v>
      </c>
      <c r="D49" s="6" t="s">
        <v>260</v>
      </c>
      <c r="E49" s="4" t="s">
        <v>261</v>
      </c>
      <c r="F49" s="4" t="s">
        <v>261</v>
      </c>
      <c r="G49" s="4" t="s">
        <v>262</v>
      </c>
      <c r="H49" s="4"/>
      <c r="I49" t="s">
        <v>127</v>
      </c>
      <c r="J49" s="1"/>
      <c r="K49" s="1"/>
      <c r="L49" s="4" t="s">
        <v>263</v>
      </c>
      <c r="M49" s="4"/>
      <c r="N49" s="4"/>
      <c r="O49" s="4"/>
      <c r="P49" s="4" t="s">
        <v>264</v>
      </c>
      <c r="Q49" s="4" t="s">
        <v>265</v>
      </c>
      <c r="R49" s="5"/>
      <c r="S49" s="2" t="s">
        <v>32</v>
      </c>
      <c r="T49" s="4"/>
      <c r="U49" s="4" t="s">
        <v>33</v>
      </c>
      <c r="V49" s="4"/>
      <c r="W49" s="4"/>
      <c r="X49" s="4"/>
      <c r="Y49" s="4"/>
      <c r="Z49" s="4"/>
    </row>
    <row r="50" spans="1:26">
      <c r="A50">
        <v>51</v>
      </c>
      <c r="B50" s="3">
        <v>46245.773263888899</v>
      </c>
      <c r="C50" s="3">
        <v>46245.7734375</v>
      </c>
      <c r="D50" s="4" t="s">
        <v>266</v>
      </c>
      <c r="E50" s="4" t="s">
        <v>267</v>
      </c>
      <c r="F50" s="4" t="s">
        <v>267</v>
      </c>
      <c r="G50" s="4" t="s">
        <v>268</v>
      </c>
      <c r="H50" s="4"/>
      <c r="I50" t="s">
        <v>65</v>
      </c>
      <c r="J50" s="1"/>
      <c r="K50" s="1"/>
      <c r="L50" s="4" t="s">
        <v>66</v>
      </c>
      <c r="M50" s="4"/>
      <c r="N50" s="4"/>
      <c r="O50" s="4"/>
      <c r="P50" s="4" t="s">
        <v>38</v>
      </c>
      <c r="Q50" s="4"/>
      <c r="R50" s="5"/>
      <c r="S50" s="2" t="s">
        <v>40</v>
      </c>
      <c r="T50" s="4" t="s">
        <v>269</v>
      </c>
      <c r="U50" s="4" t="s">
        <v>73</v>
      </c>
      <c r="V50" s="4"/>
      <c r="W50" s="4"/>
      <c r="X50" s="4"/>
      <c r="Y50" s="4"/>
      <c r="Z50" s="4"/>
    </row>
    <row r="51" spans="1:26">
      <c r="A51">
        <v>52</v>
      </c>
      <c r="B51" s="3">
        <v>46245.812245370398</v>
      </c>
      <c r="C51" s="3">
        <v>46245.813993055599</v>
      </c>
      <c r="D51" s="4" t="s">
        <v>270</v>
      </c>
      <c r="E51" s="4" t="s">
        <v>271</v>
      </c>
      <c r="F51" s="4" t="s">
        <v>271</v>
      </c>
      <c r="G51" s="4" t="s">
        <v>270</v>
      </c>
      <c r="H51" s="4"/>
      <c r="I51" t="s">
        <v>37</v>
      </c>
      <c r="J51" s="1"/>
      <c r="K51" s="1"/>
      <c r="L51" s="4" t="s">
        <v>30</v>
      </c>
      <c r="M51" s="4"/>
      <c r="N51" s="4"/>
      <c r="O51" s="4"/>
      <c r="P51" s="4" t="s">
        <v>31</v>
      </c>
      <c r="Q51" s="4" t="s">
        <v>272</v>
      </c>
      <c r="R51" s="5" t="s">
        <v>273</v>
      </c>
      <c r="S51" s="2" t="s">
        <v>32</v>
      </c>
      <c r="T51" s="4"/>
      <c r="U51" s="4" t="s">
        <v>33</v>
      </c>
      <c r="V51" s="4"/>
      <c r="W51" s="4"/>
      <c r="X51" s="4"/>
      <c r="Y51" s="4"/>
      <c r="Z51" s="4"/>
    </row>
    <row r="52" spans="1:26">
      <c r="A52">
        <v>53</v>
      </c>
      <c r="B52" s="3">
        <v>46245.801550925898</v>
      </c>
      <c r="C52" s="3">
        <v>46245.818587962996</v>
      </c>
      <c r="D52" s="4" t="s">
        <v>274</v>
      </c>
      <c r="E52" s="4" t="s">
        <v>275</v>
      </c>
      <c r="F52" s="4" t="s">
        <v>275</v>
      </c>
      <c r="G52" s="4" t="s">
        <v>276</v>
      </c>
      <c r="H52" s="4"/>
      <c r="I52" t="s">
        <v>65</v>
      </c>
      <c r="J52" s="1"/>
      <c r="K52" s="1"/>
      <c r="L52" s="4" t="s">
        <v>258</v>
      </c>
      <c r="M52" s="4"/>
      <c r="N52" s="4"/>
      <c r="O52" s="4"/>
      <c r="P52" s="4" t="s">
        <v>38</v>
      </c>
      <c r="Q52" s="4" t="s">
        <v>277</v>
      </c>
      <c r="R52" s="5" t="s">
        <v>278</v>
      </c>
      <c r="S52" s="2" t="s">
        <v>40</v>
      </c>
      <c r="T52" s="4" t="s">
        <v>279</v>
      </c>
      <c r="U52" s="4" t="s">
        <v>33</v>
      </c>
      <c r="V52" s="4"/>
      <c r="W52" s="4"/>
      <c r="X52" s="4"/>
      <c r="Y52" s="4"/>
      <c r="Z52" s="4"/>
    </row>
    <row r="53" spans="1:26">
      <c r="A53">
        <v>54</v>
      </c>
      <c r="B53" s="3">
        <v>46245.802222222199</v>
      </c>
      <c r="C53" s="3">
        <v>46245.820023148102</v>
      </c>
      <c r="D53" s="4" t="s">
        <v>280</v>
      </c>
      <c r="E53" s="4" t="s">
        <v>281</v>
      </c>
      <c r="F53" s="4" t="s">
        <v>281</v>
      </c>
      <c r="G53" s="4" t="s">
        <v>282</v>
      </c>
      <c r="H53" s="4"/>
      <c r="I53" t="s">
        <v>65</v>
      </c>
      <c r="J53" s="1"/>
      <c r="K53" s="1"/>
      <c r="L53" s="4" t="s">
        <v>66</v>
      </c>
      <c r="M53" s="4"/>
      <c r="N53" s="4"/>
      <c r="O53" s="4"/>
      <c r="P53" s="4" t="s">
        <v>38</v>
      </c>
      <c r="Q53" s="4" t="s">
        <v>283</v>
      </c>
      <c r="R53" s="5" t="s">
        <v>284</v>
      </c>
      <c r="S53" s="2" t="s">
        <v>40</v>
      </c>
      <c r="T53" s="4" t="s">
        <v>285</v>
      </c>
      <c r="U53" s="4" t="s">
        <v>73</v>
      </c>
      <c r="V53" s="4"/>
      <c r="W53" s="4"/>
      <c r="X53" s="4"/>
      <c r="Y53" s="4"/>
      <c r="Z53" s="4"/>
    </row>
    <row r="54" spans="1:26">
      <c r="A54">
        <v>55</v>
      </c>
      <c r="B54" s="3">
        <v>46245.745613425897</v>
      </c>
      <c r="C54" s="3">
        <v>46245.825289351902</v>
      </c>
      <c r="D54" s="4" t="s">
        <v>286</v>
      </c>
      <c r="E54" s="4" t="s">
        <v>287</v>
      </c>
      <c r="F54" s="4" t="s">
        <v>287</v>
      </c>
      <c r="G54" s="4" t="s">
        <v>288</v>
      </c>
      <c r="H54" s="4"/>
      <c r="I54" t="s">
        <v>37</v>
      </c>
      <c r="J54" s="1"/>
      <c r="K54" s="1"/>
      <c r="L54" s="4" t="s">
        <v>30</v>
      </c>
      <c r="M54" s="4"/>
      <c r="N54" s="4"/>
      <c r="O54" s="4"/>
      <c r="P54" s="4" t="s">
        <v>38</v>
      </c>
      <c r="Q54" s="4"/>
      <c r="R54" s="5" t="s">
        <v>289</v>
      </c>
      <c r="S54" s="2" t="s">
        <v>40</v>
      </c>
      <c r="T54" s="4"/>
      <c r="U54" s="4" t="s">
        <v>73</v>
      </c>
      <c r="V54" s="4"/>
      <c r="W54" s="4"/>
      <c r="X54" s="4"/>
      <c r="Y54" s="4"/>
      <c r="Z54" s="4"/>
    </row>
    <row r="55" spans="1:26">
      <c r="A55">
        <v>56</v>
      </c>
      <c r="B55" s="3">
        <v>46246.053958333301</v>
      </c>
      <c r="C55" s="3">
        <v>46246.093460648102</v>
      </c>
      <c r="D55" s="4" t="s">
        <v>290</v>
      </c>
      <c r="E55" s="4" t="s">
        <v>291</v>
      </c>
      <c r="F55" s="4" t="s">
        <v>291</v>
      </c>
      <c r="G55" s="4" t="s">
        <v>292</v>
      </c>
      <c r="H55" s="4"/>
      <c r="I55" t="s">
        <v>37</v>
      </c>
      <c r="J55" s="1"/>
      <c r="K55" s="1"/>
      <c r="L55" s="4" t="s">
        <v>30</v>
      </c>
      <c r="M55" s="4"/>
      <c r="N55" s="4"/>
      <c r="O55" s="4"/>
      <c r="P55" s="4" t="s">
        <v>31</v>
      </c>
      <c r="Q55" s="4" t="s">
        <v>293</v>
      </c>
      <c r="R55" s="5"/>
      <c r="S55" s="2" t="s">
        <v>40</v>
      </c>
      <c r="T55" s="4"/>
      <c r="U55" s="4" t="s">
        <v>73</v>
      </c>
      <c r="V55" s="4"/>
      <c r="W55" s="4"/>
      <c r="X55" s="4"/>
      <c r="Y55" s="4"/>
      <c r="Z55" s="4"/>
    </row>
    <row r="56" spans="1:26">
      <c r="A56">
        <v>57</v>
      </c>
      <c r="B56" s="3">
        <v>46246.698252314804</v>
      </c>
      <c r="C56" s="3">
        <v>46246.700578703698</v>
      </c>
      <c r="D56" s="4" t="s">
        <v>294</v>
      </c>
      <c r="E56" s="4" t="s">
        <v>295</v>
      </c>
      <c r="F56" s="4" t="s">
        <v>295</v>
      </c>
      <c r="G56" s="4" t="s">
        <v>296</v>
      </c>
      <c r="H56" s="4"/>
      <c r="I56" t="s">
        <v>81</v>
      </c>
      <c r="J56" s="1"/>
      <c r="K56" s="1"/>
      <c r="L56" s="4" t="s">
        <v>297</v>
      </c>
      <c r="M56" s="4"/>
      <c r="N56" s="4"/>
      <c r="O56" s="4"/>
      <c r="P56" s="4" t="s">
        <v>31</v>
      </c>
      <c r="Q56" s="4" t="s">
        <v>298</v>
      </c>
      <c r="R56" s="5" t="s">
        <v>299</v>
      </c>
      <c r="S56" s="2" t="s">
        <v>40</v>
      </c>
      <c r="T56" s="4" t="s">
        <v>300</v>
      </c>
      <c r="U56" s="4" t="s">
        <v>33</v>
      </c>
      <c r="V56" s="4"/>
      <c r="W56" s="4"/>
      <c r="X56" s="4"/>
      <c r="Y56" s="4"/>
      <c r="Z56" s="4"/>
    </row>
    <row r="57" spans="1:26">
      <c r="A57">
        <v>58</v>
      </c>
      <c r="B57" s="3">
        <v>46247.0397800926</v>
      </c>
      <c r="C57" s="3">
        <v>46247.041261574101</v>
      </c>
      <c r="D57" s="4" t="s">
        <v>301</v>
      </c>
      <c r="E57" s="4" t="s">
        <v>302</v>
      </c>
      <c r="F57" s="4" t="s">
        <v>302</v>
      </c>
      <c r="G57" s="4" t="s">
        <v>303</v>
      </c>
      <c r="H57" s="4"/>
      <c r="I57" t="s">
        <v>37</v>
      </c>
      <c r="J57" s="1"/>
      <c r="K57" s="1"/>
      <c r="L57" s="4" t="s">
        <v>140</v>
      </c>
      <c r="M57" s="4"/>
      <c r="N57" s="4"/>
      <c r="O57" s="4"/>
      <c r="P57" s="4" t="s">
        <v>304</v>
      </c>
      <c r="Q57" s="4" t="s">
        <v>305</v>
      </c>
      <c r="R57" s="5" t="s">
        <v>305</v>
      </c>
      <c r="S57" s="2" t="s">
        <v>32</v>
      </c>
      <c r="T57" s="4" t="s">
        <v>305</v>
      </c>
      <c r="U57" s="4" t="s">
        <v>57</v>
      </c>
      <c r="V57" s="4"/>
      <c r="W57" s="4"/>
      <c r="X57" s="4"/>
      <c r="Y57" s="4"/>
      <c r="Z57" s="4"/>
    </row>
    <row r="58" spans="1:26">
      <c r="A58">
        <v>59</v>
      </c>
      <c r="B58" s="3">
        <v>46250.384502314802</v>
      </c>
      <c r="C58" s="3">
        <v>46250.391180555598</v>
      </c>
      <c r="D58" s="4" t="s">
        <v>306</v>
      </c>
      <c r="E58" s="4" t="s">
        <v>307</v>
      </c>
      <c r="F58" s="4" t="s">
        <v>308</v>
      </c>
      <c r="G58" s="4" t="s">
        <v>309</v>
      </c>
      <c r="H58" s="4"/>
      <c r="I58" t="s">
        <v>310</v>
      </c>
      <c r="J58" s="1"/>
      <c r="K58" s="1"/>
      <c r="L58" s="4" t="s">
        <v>311</v>
      </c>
      <c r="M58" s="4"/>
      <c r="N58" s="4"/>
      <c r="O58" s="4"/>
      <c r="P58" s="4" t="s">
        <v>31</v>
      </c>
      <c r="Q58" s="4" t="s">
        <v>312</v>
      </c>
      <c r="R58" s="5" t="s">
        <v>313</v>
      </c>
      <c r="S58" s="2" t="s">
        <v>40</v>
      </c>
      <c r="T58" s="4"/>
      <c r="U58" s="4" t="s">
        <v>247</v>
      </c>
      <c r="V58" s="4"/>
      <c r="W58" s="4"/>
      <c r="X58" s="4"/>
      <c r="Y58" s="4"/>
      <c r="Z58" s="4"/>
    </row>
    <row r="59" spans="1:26">
      <c r="A59">
        <v>60</v>
      </c>
      <c r="B59" s="3">
        <v>46251.337361111102</v>
      </c>
      <c r="C59" s="3">
        <v>46251.356504629599</v>
      </c>
      <c r="D59" s="4" t="s">
        <v>314</v>
      </c>
      <c r="E59" s="4" t="s">
        <v>315</v>
      </c>
      <c r="F59" s="4" t="s">
        <v>316</v>
      </c>
      <c r="G59" s="4" t="s">
        <v>317</v>
      </c>
      <c r="H59" s="4"/>
      <c r="I59" t="s">
        <v>318</v>
      </c>
      <c r="J59" s="1"/>
      <c r="K59" s="1"/>
      <c r="L59" s="4" t="s">
        <v>319</v>
      </c>
      <c r="M59" s="4"/>
      <c r="N59" s="4"/>
      <c r="O59" s="4"/>
      <c r="P59" s="4" t="s">
        <v>38</v>
      </c>
      <c r="Q59" s="4"/>
      <c r="R59" s="5" t="s">
        <v>320</v>
      </c>
      <c r="S59" s="2" t="s">
        <v>40</v>
      </c>
      <c r="T59" s="4"/>
      <c r="U59" s="4" t="s">
        <v>73</v>
      </c>
      <c r="V59" s="4"/>
      <c r="W59" s="4"/>
      <c r="X59" s="4"/>
      <c r="Y59" s="4"/>
      <c r="Z59" s="4"/>
    </row>
    <row r="60" spans="1:26">
      <c r="A60">
        <v>61</v>
      </c>
      <c r="B60" s="3">
        <v>46251.723831018498</v>
      </c>
      <c r="C60" s="3">
        <v>46251.764386574097</v>
      </c>
      <c r="D60" s="4" t="s">
        <v>321</v>
      </c>
      <c r="E60" s="4" t="s">
        <v>322</v>
      </c>
      <c r="F60" s="4" t="s">
        <v>323</v>
      </c>
      <c r="G60" s="4" t="s">
        <v>321</v>
      </c>
      <c r="H60" s="4"/>
      <c r="I60" t="s">
        <v>37</v>
      </c>
      <c r="J60" s="1"/>
      <c r="K60" s="1"/>
      <c r="L60" s="4" t="s">
        <v>30</v>
      </c>
      <c r="M60" s="4"/>
      <c r="N60" s="4"/>
      <c r="O60" s="4"/>
      <c r="P60" s="4" t="s">
        <v>31</v>
      </c>
      <c r="Q60" s="4" t="s">
        <v>324</v>
      </c>
      <c r="R60" s="5"/>
      <c r="S60" s="2" t="s">
        <v>40</v>
      </c>
      <c r="T60" s="4"/>
      <c r="U60" s="4" t="s">
        <v>33</v>
      </c>
      <c r="V60" s="4"/>
      <c r="W60" s="4"/>
      <c r="X60" s="4"/>
      <c r="Y60" s="4"/>
      <c r="Z60" s="4"/>
    </row>
    <row r="61" spans="1:26">
      <c r="A61">
        <v>62</v>
      </c>
      <c r="B61" s="3">
        <v>46251.769398148099</v>
      </c>
      <c r="C61" s="3">
        <v>46251.861875000002</v>
      </c>
      <c r="D61" s="4" t="s">
        <v>325</v>
      </c>
      <c r="E61" s="4" t="s">
        <v>326</v>
      </c>
      <c r="F61" s="4" t="s">
        <v>326</v>
      </c>
      <c r="G61" s="4" t="s">
        <v>325</v>
      </c>
      <c r="H61" s="4"/>
      <c r="I61" t="s">
        <v>81</v>
      </c>
      <c r="J61" s="1"/>
      <c r="K61" s="1"/>
      <c r="L61" s="4" t="s">
        <v>327</v>
      </c>
      <c r="M61" s="4"/>
      <c r="N61" s="4"/>
      <c r="O61" s="4"/>
      <c r="P61" s="4" t="s">
        <v>38</v>
      </c>
      <c r="Q61" s="4" t="s">
        <v>328</v>
      </c>
      <c r="R61" s="5"/>
      <c r="S61" s="2" t="s">
        <v>40</v>
      </c>
      <c r="T61" s="4"/>
      <c r="U61" s="4" t="s">
        <v>73</v>
      </c>
      <c r="V61" s="4"/>
      <c r="W61" s="4"/>
      <c r="X61" s="4"/>
      <c r="Y61" s="4"/>
      <c r="Z61" s="4"/>
    </row>
    <row r="62" spans="1:26">
      <c r="A62">
        <v>63</v>
      </c>
      <c r="B62" s="3">
        <v>46251.897037037001</v>
      </c>
      <c r="C62" s="3">
        <v>46251.912233796298</v>
      </c>
      <c r="D62" s="4" t="s">
        <v>329</v>
      </c>
      <c r="E62" s="4" t="s">
        <v>330</v>
      </c>
      <c r="F62" s="4" t="s">
        <v>331</v>
      </c>
      <c r="G62" s="4" t="s">
        <v>332</v>
      </c>
      <c r="H62" s="4"/>
      <c r="I62" t="s">
        <v>65</v>
      </c>
      <c r="J62" s="1"/>
      <c r="K62" s="1"/>
      <c r="L62" s="4" t="s">
        <v>333</v>
      </c>
      <c r="M62" s="4"/>
      <c r="N62" s="4"/>
      <c r="O62" s="4"/>
      <c r="P62" s="4" t="s">
        <v>31</v>
      </c>
      <c r="Q62" s="4" t="s">
        <v>334</v>
      </c>
      <c r="R62" s="5" t="s">
        <v>335</v>
      </c>
      <c r="S62" s="2" t="s">
        <v>32</v>
      </c>
      <c r="T62" s="4" t="s">
        <v>336</v>
      </c>
      <c r="U62" s="4" t="s">
        <v>73</v>
      </c>
      <c r="V62" s="4"/>
      <c r="W62" s="4"/>
      <c r="X62" s="4"/>
      <c r="Y62" s="4"/>
      <c r="Z62" s="4"/>
    </row>
    <row r="63" spans="1:26">
      <c r="A63">
        <v>64</v>
      </c>
      <c r="B63" s="3">
        <v>46251.938796296301</v>
      </c>
      <c r="C63" s="3">
        <v>46251.956041666701</v>
      </c>
      <c r="D63" s="4" t="s">
        <v>337</v>
      </c>
      <c r="E63" s="4" t="s">
        <v>338</v>
      </c>
      <c r="F63" s="4" t="s">
        <v>339</v>
      </c>
      <c r="G63" s="4" t="s">
        <v>340</v>
      </c>
      <c r="H63" s="4"/>
      <c r="I63" t="s">
        <v>48</v>
      </c>
      <c r="J63" s="1"/>
      <c r="K63" s="1"/>
      <c r="L63" s="4" t="s">
        <v>49</v>
      </c>
      <c r="M63" s="4"/>
      <c r="N63" s="4"/>
      <c r="O63" s="4"/>
      <c r="P63" s="4" t="s">
        <v>38</v>
      </c>
      <c r="Q63" s="4"/>
      <c r="R63" s="5" t="s">
        <v>341</v>
      </c>
      <c r="S63" s="2" t="s">
        <v>40</v>
      </c>
      <c r="T63" s="4"/>
      <c r="U63" s="4" t="s">
        <v>73</v>
      </c>
      <c r="V63" s="4"/>
      <c r="W63" s="4"/>
      <c r="X63" s="4"/>
      <c r="Y63" s="4"/>
      <c r="Z63" s="4"/>
    </row>
    <row r="64" spans="1:26">
      <c r="A64">
        <v>65</v>
      </c>
      <c r="B64" s="3">
        <v>46251.982951388898</v>
      </c>
      <c r="C64" s="3">
        <v>46251.9841087963</v>
      </c>
      <c r="D64" s="4" t="s">
        <v>342</v>
      </c>
      <c r="E64" s="4" t="s">
        <v>343</v>
      </c>
      <c r="F64" s="4" t="s">
        <v>344</v>
      </c>
      <c r="G64" s="4" t="s">
        <v>345</v>
      </c>
      <c r="H64" s="4"/>
      <c r="I64" t="s">
        <v>65</v>
      </c>
      <c r="J64" s="1"/>
      <c r="K64" s="1"/>
      <c r="L64" s="4" t="s">
        <v>66</v>
      </c>
      <c r="M64" s="4"/>
      <c r="N64" s="4"/>
      <c r="O64" s="4"/>
      <c r="P64" s="4" t="s">
        <v>38</v>
      </c>
      <c r="Q64" s="4"/>
      <c r="R64" s="5"/>
      <c r="S64" s="2" t="s">
        <v>40</v>
      </c>
      <c r="T64" s="4"/>
      <c r="U64" s="4" t="s">
        <v>73</v>
      </c>
      <c r="V64" s="4"/>
      <c r="W64" s="4"/>
      <c r="X64" s="4"/>
      <c r="Y64" s="4"/>
      <c r="Z64" s="4"/>
    </row>
    <row r="65" spans="1:26">
      <c r="A65">
        <v>66</v>
      </c>
      <c r="B65" s="3">
        <v>46252.008020833302</v>
      </c>
      <c r="C65" s="3">
        <v>46252.008842592601</v>
      </c>
      <c r="D65" s="4" t="s">
        <v>346</v>
      </c>
      <c r="E65" s="4" t="s">
        <v>347</v>
      </c>
      <c r="F65" s="4" t="s">
        <v>347</v>
      </c>
      <c r="G65" s="4" t="s">
        <v>348</v>
      </c>
      <c r="H65" s="4"/>
      <c r="I65" t="s">
        <v>37</v>
      </c>
      <c r="J65" s="1"/>
      <c r="K65" s="1"/>
      <c r="L65" s="4" t="s">
        <v>349</v>
      </c>
      <c r="M65" s="4"/>
      <c r="N65" s="4"/>
      <c r="O65" s="4"/>
      <c r="P65" s="4" t="s">
        <v>31</v>
      </c>
      <c r="Q65" s="4" t="s">
        <v>350</v>
      </c>
      <c r="R65" s="5" t="s">
        <v>351</v>
      </c>
      <c r="S65" s="2" t="s">
        <v>40</v>
      </c>
      <c r="T65" s="4"/>
      <c r="U65" s="4" t="s">
        <v>73</v>
      </c>
      <c r="V65" s="4"/>
      <c r="W65" s="4"/>
      <c r="X65" s="4"/>
      <c r="Y65" s="4"/>
      <c r="Z65" s="4"/>
    </row>
    <row r="66" spans="1:26">
      <c r="A66">
        <v>67</v>
      </c>
      <c r="B66" s="3">
        <v>46252.014027777797</v>
      </c>
      <c r="C66" s="3">
        <v>46252.015162037002</v>
      </c>
      <c r="D66" s="4" t="s">
        <v>352</v>
      </c>
      <c r="E66" s="4" t="s">
        <v>353</v>
      </c>
      <c r="F66" s="4" t="s">
        <v>353</v>
      </c>
      <c r="G66" s="4" t="s">
        <v>354</v>
      </c>
      <c r="H66" s="4"/>
      <c r="I66" t="s">
        <v>355</v>
      </c>
      <c r="J66" s="1"/>
      <c r="K66" s="1"/>
      <c r="L66" s="4" t="s">
        <v>96</v>
      </c>
      <c r="M66" s="4"/>
      <c r="N66" s="4"/>
      <c r="O66" s="4"/>
      <c r="P66" s="4" t="s">
        <v>38</v>
      </c>
      <c r="Q66" s="4"/>
      <c r="R66" s="5" t="s">
        <v>356</v>
      </c>
      <c r="S66" s="2" t="s">
        <v>40</v>
      </c>
      <c r="T66" s="4"/>
      <c r="U66" s="4" t="s">
        <v>73</v>
      </c>
      <c r="V66" s="4"/>
      <c r="W66" s="4"/>
      <c r="X66" s="4"/>
      <c r="Y66" s="4"/>
      <c r="Z66" s="4"/>
    </row>
    <row r="67" spans="1:26">
      <c r="A67">
        <v>68</v>
      </c>
      <c r="B67" s="3">
        <v>46251.927893518499</v>
      </c>
      <c r="C67" s="3">
        <v>46252.025856481501</v>
      </c>
      <c r="D67" s="4" t="s">
        <v>357</v>
      </c>
      <c r="E67" s="4" t="s">
        <v>358</v>
      </c>
      <c r="F67" s="4" t="s">
        <v>359</v>
      </c>
      <c r="G67" s="4" t="s">
        <v>360</v>
      </c>
      <c r="H67" s="4"/>
      <c r="I67" t="s">
        <v>65</v>
      </c>
      <c r="J67" s="1"/>
      <c r="K67" s="1"/>
      <c r="L67" s="4" t="s">
        <v>66</v>
      </c>
      <c r="M67" s="4"/>
      <c r="N67" s="4"/>
      <c r="O67" s="4"/>
      <c r="P67" s="4" t="s">
        <v>38</v>
      </c>
      <c r="Q67" s="4" t="s">
        <v>241</v>
      </c>
      <c r="R67" s="5" t="s">
        <v>361</v>
      </c>
      <c r="S67" s="2" t="s">
        <v>40</v>
      </c>
      <c r="T67" s="4"/>
      <c r="U67" s="4" t="s">
        <v>73</v>
      </c>
      <c r="V67" s="4"/>
      <c r="W67" s="4"/>
      <c r="X67" s="4"/>
      <c r="Y67" s="4"/>
      <c r="Z67" s="4"/>
    </row>
    <row r="68" spans="1:26">
      <c r="A68">
        <v>69</v>
      </c>
      <c r="B68" s="3">
        <v>46252.1401736111</v>
      </c>
      <c r="C68" s="3">
        <v>46252.1636574074</v>
      </c>
      <c r="D68" s="4" t="s">
        <v>362</v>
      </c>
      <c r="E68" s="4" t="s">
        <v>363</v>
      </c>
      <c r="F68" s="4" t="s">
        <v>363</v>
      </c>
      <c r="G68" s="4" t="s">
        <v>364</v>
      </c>
      <c r="H68" s="4"/>
      <c r="I68" t="s">
        <v>310</v>
      </c>
      <c r="J68" s="1"/>
      <c r="K68" s="1"/>
      <c r="L68" s="4" t="s">
        <v>49</v>
      </c>
      <c r="M68" s="4"/>
      <c r="N68" s="4"/>
      <c r="O68" s="4"/>
      <c r="P68" s="4" t="s">
        <v>31</v>
      </c>
      <c r="Q68" s="4" t="s">
        <v>365</v>
      </c>
      <c r="R68" s="5" t="s">
        <v>366</v>
      </c>
      <c r="S68" s="2" t="s">
        <v>32</v>
      </c>
      <c r="T68" s="4"/>
      <c r="U68" s="4" t="s">
        <v>33</v>
      </c>
      <c r="V68" s="4"/>
      <c r="W68" s="4"/>
      <c r="X68" s="4"/>
      <c r="Y68" s="4"/>
      <c r="Z68" s="4"/>
    </row>
    <row r="69" spans="1:26">
      <c r="A69">
        <v>70</v>
      </c>
      <c r="B69" s="3">
        <v>46253.064016203702</v>
      </c>
      <c r="C69" s="3">
        <v>46253.067430555602</v>
      </c>
      <c r="D69" s="4" t="s">
        <v>367</v>
      </c>
      <c r="E69" s="4" t="s">
        <v>368</v>
      </c>
      <c r="F69" s="4" t="s">
        <v>369</v>
      </c>
      <c r="G69" s="4" t="s">
        <v>370</v>
      </c>
      <c r="H69" s="4"/>
      <c r="I69" t="s">
        <v>371</v>
      </c>
      <c r="J69" s="1"/>
      <c r="K69" s="1"/>
      <c r="L69" s="4" t="s">
        <v>372</v>
      </c>
      <c r="M69" s="4"/>
      <c r="N69" s="4"/>
      <c r="O69" s="4"/>
      <c r="P69" s="4" t="s">
        <v>31</v>
      </c>
      <c r="Q69" s="4" t="s">
        <v>373</v>
      </c>
      <c r="R69" s="5" t="s">
        <v>374</v>
      </c>
      <c r="S69" s="2" t="s">
        <v>40</v>
      </c>
      <c r="T69" s="4" t="s">
        <v>374</v>
      </c>
      <c r="U69" s="4" t="s">
        <v>33</v>
      </c>
      <c r="V69" s="4"/>
      <c r="W69" s="4"/>
      <c r="X69" s="4"/>
      <c r="Y69" s="4"/>
      <c r="Z69" s="4"/>
    </row>
    <row r="70" spans="1:26">
      <c r="A70">
        <v>71</v>
      </c>
      <c r="B70" s="3">
        <v>46253.671712962998</v>
      </c>
      <c r="C70" s="3">
        <v>46253.671990740702</v>
      </c>
      <c r="D70" s="4" t="s">
        <v>375</v>
      </c>
      <c r="E70" s="4" t="s">
        <v>376</v>
      </c>
      <c r="F70" s="4" t="s">
        <v>377</v>
      </c>
      <c r="G70" s="4" t="s">
        <v>378</v>
      </c>
      <c r="H70" s="4"/>
      <c r="I70" t="s">
        <v>37</v>
      </c>
      <c r="J70" s="1"/>
      <c r="K70" s="1"/>
      <c r="L70" s="4" t="s">
        <v>30</v>
      </c>
      <c r="M70" s="4"/>
      <c r="N70" s="4"/>
      <c r="O70" s="4"/>
      <c r="P70" s="4" t="s">
        <v>31</v>
      </c>
      <c r="Q70" s="4" t="s">
        <v>379</v>
      </c>
      <c r="R70" s="5" t="s">
        <v>380</v>
      </c>
      <c r="S70" s="2" t="s">
        <v>40</v>
      </c>
      <c r="T70" s="4"/>
      <c r="U70" s="4" t="s">
        <v>247</v>
      </c>
      <c r="V70" s="4"/>
      <c r="W70" s="4"/>
      <c r="X70" s="4"/>
      <c r="Y70" s="4"/>
      <c r="Z70" s="4"/>
    </row>
  </sheetData>
  <hyperlinks>
    <hyperlink ref="D2" r:id="rId1" xr:uid="{73DA29B6-75E1-4D79-8DDC-03283F32F870}"/>
    <hyperlink ref="D29" r:id="rId2" xr:uid="{27E90BF6-E345-4F0B-8F0C-31618D5CFDBA}"/>
    <hyperlink ref="D34" r:id="rId3" xr:uid="{8634F2C0-550A-45F1-9F37-A50DB3177195}"/>
    <hyperlink ref="D49" r:id="rId4" xr:uid="{BBA87EAD-AA73-44AB-A4EC-F3E4FCD3AB8F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3926-4D16-4E9F-AE0C-2FC7367D084D}">
  <dimension ref="A1:F119"/>
  <sheetViews>
    <sheetView topLeftCell="A81" workbookViewId="0">
      <selection activeCell="B13" sqref="B13"/>
    </sheetView>
  </sheetViews>
  <sheetFormatPr defaultRowHeight="15"/>
  <cols>
    <col min="1" max="1" width="28.5703125" customWidth="1"/>
    <col min="2" max="2" width="21.85546875" customWidth="1"/>
    <col min="3" max="3" width="38.140625" customWidth="1"/>
    <col min="4" max="5" width="22.85546875" customWidth="1"/>
    <col min="6" max="6" width="31.42578125" customWidth="1"/>
  </cols>
  <sheetData>
    <row r="1" spans="1:6" ht="32.25" customHeight="1">
      <c r="A1" s="32" t="s">
        <v>381</v>
      </c>
      <c r="B1" s="32"/>
      <c r="C1" s="32"/>
      <c r="D1" s="32"/>
      <c r="E1" s="32"/>
      <c r="F1" s="32"/>
    </row>
    <row r="2" spans="1:6">
      <c r="A2" s="33" t="s">
        <v>382</v>
      </c>
      <c r="B2" s="33"/>
      <c r="C2" s="33"/>
      <c r="D2" s="33"/>
      <c r="E2" s="33"/>
      <c r="F2" s="33"/>
    </row>
    <row r="4" spans="1:6">
      <c r="A4" s="7" t="s">
        <v>383</v>
      </c>
      <c r="B4" s="7" t="s">
        <v>384</v>
      </c>
      <c r="C4" s="7" t="s">
        <v>385</v>
      </c>
      <c r="D4" s="7" t="s">
        <v>386</v>
      </c>
      <c r="E4" s="7" t="s">
        <v>387</v>
      </c>
      <c r="F4" s="7" t="s">
        <v>388</v>
      </c>
    </row>
    <row r="5" spans="1:6">
      <c r="A5" t="s">
        <v>151</v>
      </c>
      <c r="B5" t="s">
        <v>37</v>
      </c>
      <c r="C5" s="8" t="s">
        <v>148</v>
      </c>
      <c r="D5" s="28">
        <f>COUNTIF($A$5:$A$119,A5)</f>
        <v>1</v>
      </c>
      <c r="E5" s="28">
        <f>COUNTIFS($A$5:$A$119,A5,$B$5:$B$119,B5)</f>
        <v>1</v>
      </c>
      <c r="F5" s="8" t="s">
        <v>40</v>
      </c>
    </row>
    <row r="6" spans="1:6">
      <c r="A6" t="s">
        <v>87</v>
      </c>
      <c r="B6" t="s">
        <v>37</v>
      </c>
      <c r="C6" s="8" t="s">
        <v>148</v>
      </c>
      <c r="D6" s="28">
        <f t="shared" ref="D6:D69" si="0">COUNTIF($A$5:$A$119,A6)</f>
        <v>4</v>
      </c>
      <c r="E6" s="28">
        <f t="shared" ref="E6:E69" si="1">COUNTIFS($A$5:$A$119,A6,$B$5:$B$119,B6)</f>
        <v>2</v>
      </c>
      <c r="F6" s="8" t="s">
        <v>40</v>
      </c>
    </row>
    <row r="7" spans="1:6">
      <c r="A7" t="s">
        <v>347</v>
      </c>
      <c r="B7" t="s">
        <v>37</v>
      </c>
      <c r="C7" s="8" t="s">
        <v>148</v>
      </c>
      <c r="D7" s="28">
        <f t="shared" si="0"/>
        <v>2</v>
      </c>
      <c r="E7" s="28">
        <f t="shared" si="1"/>
        <v>2</v>
      </c>
      <c r="F7" s="8" t="s">
        <v>40</v>
      </c>
    </row>
    <row r="8" spans="1:6">
      <c r="A8" t="s">
        <v>389</v>
      </c>
      <c r="B8" t="s">
        <v>37</v>
      </c>
      <c r="C8" s="8" t="s">
        <v>148</v>
      </c>
      <c r="D8" s="28">
        <f t="shared" si="0"/>
        <v>4</v>
      </c>
      <c r="E8" s="28">
        <f t="shared" si="1"/>
        <v>2</v>
      </c>
      <c r="F8" s="8" t="s">
        <v>40</v>
      </c>
    </row>
    <row r="9" spans="1:6">
      <c r="A9" t="s">
        <v>197</v>
      </c>
      <c r="B9" t="s">
        <v>37</v>
      </c>
      <c r="C9" s="8" t="s">
        <v>148</v>
      </c>
      <c r="D9" s="28">
        <f t="shared" si="0"/>
        <v>1</v>
      </c>
      <c r="E9" s="28">
        <f t="shared" si="1"/>
        <v>1</v>
      </c>
      <c r="F9" s="8" t="s">
        <v>40</v>
      </c>
    </row>
    <row r="10" spans="1:6">
      <c r="A10" t="s">
        <v>109</v>
      </c>
      <c r="B10" t="s">
        <v>37</v>
      </c>
      <c r="C10" s="8" t="s">
        <v>148</v>
      </c>
      <c r="D10" s="28">
        <f t="shared" si="0"/>
        <v>8</v>
      </c>
      <c r="E10" s="28">
        <f t="shared" si="1"/>
        <v>1</v>
      </c>
      <c r="F10" s="8" t="s">
        <v>40</v>
      </c>
    </row>
    <row r="11" spans="1:6">
      <c r="A11" t="s">
        <v>205</v>
      </c>
      <c r="B11" t="s">
        <v>37</v>
      </c>
      <c r="C11" s="8" t="s">
        <v>148</v>
      </c>
      <c r="D11" s="28">
        <f t="shared" si="0"/>
        <v>1</v>
      </c>
      <c r="E11" s="28">
        <f t="shared" si="1"/>
        <v>1</v>
      </c>
      <c r="F11" s="8" t="s">
        <v>40</v>
      </c>
    </row>
    <row r="12" spans="1:6">
      <c r="A12" t="s">
        <v>200</v>
      </c>
      <c r="B12" t="s">
        <v>37</v>
      </c>
      <c r="C12" s="8" t="s">
        <v>148</v>
      </c>
      <c r="D12" s="28">
        <f t="shared" si="0"/>
        <v>1</v>
      </c>
      <c r="E12" s="28">
        <f t="shared" si="1"/>
        <v>1</v>
      </c>
      <c r="F12" s="8" t="s">
        <v>40</v>
      </c>
    </row>
    <row r="13" spans="1:6">
      <c r="A13" t="s">
        <v>98</v>
      </c>
      <c r="B13" t="s">
        <v>37</v>
      </c>
      <c r="C13" s="8" t="s">
        <v>148</v>
      </c>
      <c r="D13" s="28">
        <f t="shared" si="0"/>
        <v>3</v>
      </c>
      <c r="E13" s="28">
        <f t="shared" si="1"/>
        <v>1</v>
      </c>
      <c r="F13" s="8" t="s">
        <v>40</v>
      </c>
    </row>
    <row r="14" spans="1:6">
      <c r="A14" t="s">
        <v>146</v>
      </c>
      <c r="B14" t="s">
        <v>37</v>
      </c>
      <c r="C14" s="8" t="s">
        <v>148</v>
      </c>
      <c r="D14" s="28">
        <f t="shared" si="0"/>
        <v>1</v>
      </c>
      <c r="E14" s="28">
        <f t="shared" si="1"/>
        <v>1</v>
      </c>
      <c r="F14" s="8" t="s">
        <v>40</v>
      </c>
    </row>
    <row r="15" spans="1:6">
      <c r="A15" t="s">
        <v>35</v>
      </c>
      <c r="B15" t="s">
        <v>37</v>
      </c>
      <c r="C15" s="8" t="s">
        <v>30</v>
      </c>
      <c r="D15" s="28">
        <f t="shared" si="0"/>
        <v>1</v>
      </c>
      <c r="E15" s="28">
        <f t="shared" si="1"/>
        <v>1</v>
      </c>
      <c r="F15" s="8" t="s">
        <v>40</v>
      </c>
    </row>
    <row r="16" spans="1:6">
      <c r="A16" t="s">
        <v>226</v>
      </c>
      <c r="B16" t="s">
        <v>37</v>
      </c>
      <c r="C16" s="8" t="s">
        <v>30</v>
      </c>
      <c r="D16" s="28">
        <f t="shared" si="0"/>
        <v>1</v>
      </c>
      <c r="E16" s="28">
        <f t="shared" si="1"/>
        <v>1</v>
      </c>
      <c r="F16" s="8" t="s">
        <v>40</v>
      </c>
    </row>
    <row r="17" spans="1:6">
      <c r="A17" t="s">
        <v>359</v>
      </c>
      <c r="B17" t="s">
        <v>37</v>
      </c>
      <c r="C17" s="8" t="s">
        <v>30</v>
      </c>
      <c r="D17" s="28">
        <f t="shared" si="0"/>
        <v>2</v>
      </c>
      <c r="E17" s="28">
        <f t="shared" si="1"/>
        <v>1</v>
      </c>
      <c r="F17" s="8" t="s">
        <v>40</v>
      </c>
    </row>
    <row r="18" spans="1:6">
      <c r="A18" t="s">
        <v>287</v>
      </c>
      <c r="B18" t="s">
        <v>37</v>
      </c>
      <c r="C18" s="8" t="s">
        <v>30</v>
      </c>
      <c r="D18" s="28">
        <f t="shared" si="0"/>
        <v>1</v>
      </c>
      <c r="E18" s="28">
        <f t="shared" si="1"/>
        <v>1</v>
      </c>
      <c r="F18" s="8" t="s">
        <v>40</v>
      </c>
    </row>
    <row r="19" spans="1:6">
      <c r="A19" t="s">
        <v>27</v>
      </c>
      <c r="B19" t="s">
        <v>37</v>
      </c>
      <c r="C19" s="8" t="s">
        <v>30</v>
      </c>
      <c r="D19" s="28">
        <f t="shared" si="0"/>
        <v>1</v>
      </c>
      <c r="E19" s="28">
        <f t="shared" si="1"/>
        <v>1</v>
      </c>
      <c r="F19" s="8" t="s">
        <v>32</v>
      </c>
    </row>
    <row r="20" spans="1:6">
      <c r="A20" t="s">
        <v>243</v>
      </c>
      <c r="B20" t="s">
        <v>37</v>
      </c>
      <c r="C20" s="8" t="s">
        <v>30</v>
      </c>
      <c r="D20" s="28">
        <f t="shared" si="0"/>
        <v>2</v>
      </c>
      <c r="E20" s="28">
        <f t="shared" si="1"/>
        <v>1</v>
      </c>
      <c r="F20" s="8" t="s">
        <v>32</v>
      </c>
    </row>
    <row r="21" spans="1:6">
      <c r="A21" t="s">
        <v>177</v>
      </c>
      <c r="B21" t="s">
        <v>37</v>
      </c>
      <c r="C21" s="8" t="s">
        <v>30</v>
      </c>
      <c r="D21" s="28">
        <f t="shared" si="0"/>
        <v>1</v>
      </c>
      <c r="E21" s="28">
        <f t="shared" si="1"/>
        <v>1</v>
      </c>
      <c r="F21" s="8" t="s">
        <v>40</v>
      </c>
    </row>
    <row r="22" spans="1:6">
      <c r="A22" t="s">
        <v>344</v>
      </c>
      <c r="B22" t="s">
        <v>37</v>
      </c>
      <c r="C22" s="8" t="s">
        <v>30</v>
      </c>
      <c r="D22" s="28">
        <f t="shared" si="0"/>
        <v>2</v>
      </c>
      <c r="E22" s="28">
        <f t="shared" si="1"/>
        <v>1</v>
      </c>
      <c r="F22" s="8" t="s">
        <v>40</v>
      </c>
    </row>
    <row r="23" spans="1:6">
      <c r="A23" t="s">
        <v>281</v>
      </c>
      <c r="B23" t="s">
        <v>37</v>
      </c>
      <c r="C23" s="8" t="s">
        <v>30</v>
      </c>
      <c r="D23" s="28">
        <f t="shared" si="0"/>
        <v>2</v>
      </c>
      <c r="E23" s="28">
        <f t="shared" si="1"/>
        <v>1</v>
      </c>
      <c r="F23" s="8" t="s">
        <v>40</v>
      </c>
    </row>
    <row r="24" spans="1:6">
      <c r="A24" t="s">
        <v>180</v>
      </c>
      <c r="B24" t="s">
        <v>37</v>
      </c>
      <c r="C24" s="8" t="s">
        <v>30</v>
      </c>
      <c r="D24" s="28">
        <f t="shared" si="0"/>
        <v>1</v>
      </c>
      <c r="E24" s="28">
        <f t="shared" si="1"/>
        <v>1</v>
      </c>
      <c r="F24" s="8" t="s">
        <v>40</v>
      </c>
    </row>
    <row r="25" spans="1:6">
      <c r="A25" t="s">
        <v>87</v>
      </c>
      <c r="B25" t="s">
        <v>37</v>
      </c>
      <c r="C25" s="8" t="s">
        <v>30</v>
      </c>
      <c r="D25" s="28">
        <f t="shared" si="0"/>
        <v>4</v>
      </c>
      <c r="E25" s="28">
        <f t="shared" si="1"/>
        <v>2</v>
      </c>
      <c r="F25" s="8" t="s">
        <v>40</v>
      </c>
    </row>
    <row r="26" spans="1:6">
      <c r="A26" t="s">
        <v>173</v>
      </c>
      <c r="B26" t="s">
        <v>37</v>
      </c>
      <c r="C26" s="8" t="s">
        <v>30</v>
      </c>
      <c r="D26" s="28">
        <f t="shared" si="0"/>
        <v>1</v>
      </c>
      <c r="E26" s="28">
        <f t="shared" si="1"/>
        <v>1</v>
      </c>
      <c r="F26" s="8" t="s">
        <v>40</v>
      </c>
    </row>
    <row r="27" spans="1:6">
      <c r="A27" t="s">
        <v>166</v>
      </c>
      <c r="B27" t="s">
        <v>37</v>
      </c>
      <c r="C27" s="8" t="s">
        <v>30</v>
      </c>
      <c r="D27" s="28">
        <f t="shared" si="0"/>
        <v>1</v>
      </c>
      <c r="E27" s="28">
        <f t="shared" si="1"/>
        <v>1</v>
      </c>
      <c r="F27" s="8" t="s">
        <v>40</v>
      </c>
    </row>
    <row r="28" spans="1:6">
      <c r="A28" t="s">
        <v>169</v>
      </c>
      <c r="B28" t="s">
        <v>37</v>
      </c>
      <c r="C28" s="8" t="s">
        <v>30</v>
      </c>
      <c r="D28" s="28">
        <f t="shared" si="0"/>
        <v>1</v>
      </c>
      <c r="E28" s="28">
        <f t="shared" si="1"/>
        <v>1</v>
      </c>
      <c r="F28" s="8" t="s">
        <v>40</v>
      </c>
    </row>
    <row r="29" spans="1:6">
      <c r="A29" t="s">
        <v>267</v>
      </c>
      <c r="B29" t="s">
        <v>37</v>
      </c>
      <c r="C29" s="8" t="s">
        <v>30</v>
      </c>
      <c r="D29" s="28">
        <f t="shared" si="0"/>
        <v>2</v>
      </c>
      <c r="E29" s="28">
        <f t="shared" si="1"/>
        <v>1</v>
      </c>
      <c r="F29" s="8" t="s">
        <v>40</v>
      </c>
    </row>
    <row r="30" spans="1:6">
      <c r="A30" t="s">
        <v>256</v>
      </c>
      <c r="B30" t="s">
        <v>37</v>
      </c>
      <c r="C30" s="8" t="s">
        <v>30</v>
      </c>
      <c r="D30" s="28">
        <f t="shared" si="0"/>
        <v>2</v>
      </c>
      <c r="E30" s="28">
        <f t="shared" si="1"/>
        <v>1</v>
      </c>
      <c r="F30" s="8" t="s">
        <v>32</v>
      </c>
    </row>
    <row r="31" spans="1:6">
      <c r="A31" t="s">
        <v>132</v>
      </c>
      <c r="B31" t="s">
        <v>37</v>
      </c>
      <c r="C31" s="8" t="s">
        <v>30</v>
      </c>
      <c r="D31" s="28">
        <f t="shared" si="0"/>
        <v>1</v>
      </c>
      <c r="E31" s="28">
        <f t="shared" si="1"/>
        <v>1</v>
      </c>
      <c r="F31" s="8" t="s">
        <v>32</v>
      </c>
    </row>
    <row r="32" spans="1:6">
      <c r="A32" t="s">
        <v>52</v>
      </c>
      <c r="B32" t="s">
        <v>37</v>
      </c>
      <c r="C32" s="8" t="s">
        <v>30</v>
      </c>
      <c r="D32" s="28">
        <f t="shared" si="0"/>
        <v>1</v>
      </c>
      <c r="E32" s="28">
        <f t="shared" si="1"/>
        <v>1</v>
      </c>
      <c r="F32" s="8" t="s">
        <v>40</v>
      </c>
    </row>
    <row r="33" spans="1:6">
      <c r="A33" t="s">
        <v>42</v>
      </c>
      <c r="B33" t="s">
        <v>37</v>
      </c>
      <c r="C33" s="8" t="s">
        <v>30</v>
      </c>
      <c r="D33" s="28">
        <f t="shared" si="0"/>
        <v>1</v>
      </c>
      <c r="E33" s="28">
        <f t="shared" si="1"/>
        <v>1</v>
      </c>
      <c r="F33" s="8" t="s">
        <v>40</v>
      </c>
    </row>
    <row r="34" spans="1:6">
      <c r="A34" t="s">
        <v>347</v>
      </c>
      <c r="B34" t="s">
        <v>37</v>
      </c>
      <c r="C34" s="8" t="s">
        <v>30</v>
      </c>
      <c r="D34" s="28">
        <f t="shared" si="0"/>
        <v>2</v>
      </c>
      <c r="E34" s="28">
        <f t="shared" si="1"/>
        <v>2</v>
      </c>
      <c r="F34" s="8" t="s">
        <v>40</v>
      </c>
    </row>
    <row r="35" spans="1:6">
      <c r="A35" t="s">
        <v>389</v>
      </c>
      <c r="B35" t="s">
        <v>37</v>
      </c>
      <c r="C35" s="8" t="s">
        <v>30</v>
      </c>
      <c r="D35" s="28">
        <f t="shared" si="0"/>
        <v>4</v>
      </c>
      <c r="E35" s="28">
        <f t="shared" si="1"/>
        <v>2</v>
      </c>
      <c r="F35" s="8" t="s">
        <v>40</v>
      </c>
    </row>
    <row r="36" spans="1:6">
      <c r="A36" t="s">
        <v>220</v>
      </c>
      <c r="B36" t="s">
        <v>37</v>
      </c>
      <c r="C36" s="8" t="s">
        <v>30</v>
      </c>
      <c r="D36" s="28">
        <f t="shared" si="0"/>
        <v>2</v>
      </c>
      <c r="E36" s="28">
        <f t="shared" si="1"/>
        <v>1</v>
      </c>
      <c r="F36" s="8" t="s">
        <v>40</v>
      </c>
    </row>
    <row r="37" spans="1:6">
      <c r="A37" t="s">
        <v>63</v>
      </c>
      <c r="B37" t="s">
        <v>37</v>
      </c>
      <c r="C37" s="8" t="s">
        <v>30</v>
      </c>
      <c r="D37" s="28">
        <f t="shared" si="0"/>
        <v>2</v>
      </c>
      <c r="E37" s="28">
        <f t="shared" si="1"/>
        <v>1</v>
      </c>
      <c r="F37" s="8" t="s">
        <v>40</v>
      </c>
    </row>
    <row r="38" spans="1:6">
      <c r="A38" t="s">
        <v>59</v>
      </c>
      <c r="B38" t="s">
        <v>37</v>
      </c>
      <c r="C38" s="8" t="s">
        <v>30</v>
      </c>
      <c r="D38" s="28">
        <f t="shared" si="0"/>
        <v>1</v>
      </c>
      <c r="E38" s="28">
        <f t="shared" si="1"/>
        <v>1</v>
      </c>
      <c r="F38" s="8" t="s">
        <v>40</v>
      </c>
    </row>
    <row r="39" spans="1:6">
      <c r="A39" t="s">
        <v>93</v>
      </c>
      <c r="B39" t="s">
        <v>37</v>
      </c>
      <c r="C39" s="8" t="s">
        <v>30</v>
      </c>
      <c r="D39" s="28">
        <f t="shared" si="0"/>
        <v>3</v>
      </c>
      <c r="E39" s="28">
        <f t="shared" si="1"/>
        <v>1</v>
      </c>
      <c r="F39" s="8" t="s">
        <v>40</v>
      </c>
    </row>
    <row r="40" spans="1:6">
      <c r="A40" t="s">
        <v>291</v>
      </c>
      <c r="B40" t="s">
        <v>37</v>
      </c>
      <c r="C40" s="8" t="s">
        <v>30</v>
      </c>
      <c r="D40" s="28">
        <f t="shared" si="0"/>
        <v>1</v>
      </c>
      <c r="E40" s="28">
        <f t="shared" si="1"/>
        <v>1</v>
      </c>
      <c r="F40" s="8" t="s">
        <v>40</v>
      </c>
    </row>
    <row r="41" spans="1:6">
      <c r="A41" t="s">
        <v>233</v>
      </c>
      <c r="B41" t="s">
        <v>37</v>
      </c>
      <c r="C41" s="8" t="s">
        <v>30</v>
      </c>
      <c r="D41" s="28">
        <f t="shared" si="0"/>
        <v>1</v>
      </c>
      <c r="E41" s="28">
        <f t="shared" si="1"/>
        <v>1</v>
      </c>
      <c r="F41" s="8" t="s">
        <v>32</v>
      </c>
    </row>
    <row r="42" spans="1:6">
      <c r="A42" t="s">
        <v>75</v>
      </c>
      <c r="B42" t="s">
        <v>37</v>
      </c>
      <c r="C42" s="8" t="s">
        <v>30</v>
      </c>
      <c r="D42" s="28">
        <f t="shared" si="0"/>
        <v>1</v>
      </c>
      <c r="E42" s="28">
        <f t="shared" si="1"/>
        <v>1</v>
      </c>
      <c r="F42" s="8" t="s">
        <v>40</v>
      </c>
    </row>
    <row r="43" spans="1:6">
      <c r="A43" t="s">
        <v>122</v>
      </c>
      <c r="B43" t="s">
        <v>37</v>
      </c>
      <c r="C43" s="8" t="s">
        <v>30</v>
      </c>
      <c r="D43" s="28">
        <f t="shared" si="0"/>
        <v>2</v>
      </c>
      <c r="E43" s="28">
        <f t="shared" si="1"/>
        <v>1</v>
      </c>
      <c r="F43" s="8" t="s">
        <v>40</v>
      </c>
    </row>
    <row r="44" spans="1:6">
      <c r="A44" t="s">
        <v>331</v>
      </c>
      <c r="B44" t="s">
        <v>37</v>
      </c>
      <c r="C44" s="8" t="s">
        <v>30</v>
      </c>
      <c r="D44" s="28">
        <f t="shared" si="0"/>
        <v>3</v>
      </c>
      <c r="E44" s="28">
        <f t="shared" si="1"/>
        <v>1</v>
      </c>
      <c r="F44" s="8" t="s">
        <v>32</v>
      </c>
    </row>
    <row r="45" spans="1:6">
      <c r="A45" t="s">
        <v>159</v>
      </c>
      <c r="B45" t="s">
        <v>37</v>
      </c>
      <c r="C45" s="8" t="s">
        <v>30</v>
      </c>
      <c r="D45" s="28">
        <f t="shared" si="0"/>
        <v>1</v>
      </c>
      <c r="E45" s="28">
        <f t="shared" si="1"/>
        <v>1</v>
      </c>
      <c r="F45" s="8" t="s">
        <v>40</v>
      </c>
    </row>
    <row r="46" spans="1:6">
      <c r="A46" t="s">
        <v>216</v>
      </c>
      <c r="B46" t="s">
        <v>37</v>
      </c>
      <c r="C46" s="8" t="s">
        <v>30</v>
      </c>
      <c r="D46" s="28">
        <f t="shared" si="0"/>
        <v>2</v>
      </c>
      <c r="E46" s="28">
        <f t="shared" si="1"/>
        <v>1</v>
      </c>
      <c r="F46" s="8" t="s">
        <v>40</v>
      </c>
    </row>
    <row r="47" spans="1:6">
      <c r="A47" t="s">
        <v>323</v>
      </c>
      <c r="B47" t="s">
        <v>37</v>
      </c>
      <c r="C47" s="8" t="s">
        <v>30</v>
      </c>
      <c r="D47" s="28">
        <f t="shared" si="0"/>
        <v>1</v>
      </c>
      <c r="E47" s="28">
        <f t="shared" si="1"/>
        <v>1</v>
      </c>
      <c r="F47" s="8" t="s">
        <v>40</v>
      </c>
    </row>
    <row r="48" spans="1:6">
      <c r="A48" t="s">
        <v>353</v>
      </c>
      <c r="B48" t="s">
        <v>37</v>
      </c>
      <c r="C48" s="8" t="s">
        <v>30</v>
      </c>
      <c r="D48" s="28">
        <f t="shared" si="0"/>
        <v>3</v>
      </c>
      <c r="E48" s="28">
        <f t="shared" si="1"/>
        <v>1</v>
      </c>
      <c r="F48" s="8" t="s">
        <v>40</v>
      </c>
    </row>
    <row r="49" spans="1:6">
      <c r="A49" t="s">
        <v>125</v>
      </c>
      <c r="B49" t="s">
        <v>37</v>
      </c>
      <c r="C49" s="8" t="s">
        <v>30</v>
      </c>
      <c r="D49" s="28">
        <f t="shared" si="0"/>
        <v>3</v>
      </c>
      <c r="E49" s="28">
        <f t="shared" si="1"/>
        <v>1</v>
      </c>
      <c r="F49" s="8" t="s">
        <v>40</v>
      </c>
    </row>
    <row r="50" spans="1:6">
      <c r="A50" t="s">
        <v>194</v>
      </c>
      <c r="B50" t="s">
        <v>37</v>
      </c>
      <c r="C50" s="8" t="s">
        <v>30</v>
      </c>
      <c r="D50" s="28">
        <f t="shared" si="0"/>
        <v>1</v>
      </c>
      <c r="E50" s="28">
        <f t="shared" si="1"/>
        <v>1</v>
      </c>
      <c r="F50" s="8" t="s">
        <v>40</v>
      </c>
    </row>
    <row r="51" spans="1:6">
      <c r="A51" t="s">
        <v>250</v>
      </c>
      <c r="B51" t="s">
        <v>37</v>
      </c>
      <c r="C51" s="8" t="s">
        <v>30</v>
      </c>
      <c r="D51" s="28">
        <f t="shared" si="0"/>
        <v>7</v>
      </c>
      <c r="E51" s="28">
        <f t="shared" si="1"/>
        <v>1</v>
      </c>
      <c r="F51" s="8" t="s">
        <v>40</v>
      </c>
    </row>
    <row r="52" spans="1:6">
      <c r="A52" t="s">
        <v>143</v>
      </c>
      <c r="B52" t="s">
        <v>37</v>
      </c>
      <c r="C52" s="8" t="s">
        <v>30</v>
      </c>
      <c r="D52" s="28">
        <f t="shared" si="0"/>
        <v>1</v>
      </c>
      <c r="E52" s="28">
        <f t="shared" si="1"/>
        <v>1</v>
      </c>
      <c r="F52" s="8" t="s">
        <v>40</v>
      </c>
    </row>
    <row r="53" spans="1:6">
      <c r="A53" t="s">
        <v>229</v>
      </c>
      <c r="B53" t="s">
        <v>37</v>
      </c>
      <c r="C53" s="8" t="s">
        <v>30</v>
      </c>
      <c r="D53" s="28">
        <f t="shared" si="0"/>
        <v>1</v>
      </c>
      <c r="E53" s="28">
        <f t="shared" si="1"/>
        <v>1</v>
      </c>
      <c r="F53" s="8" t="s">
        <v>40</v>
      </c>
    </row>
    <row r="54" spans="1:6">
      <c r="A54" t="s">
        <v>275</v>
      </c>
      <c r="B54" t="s">
        <v>37</v>
      </c>
      <c r="C54" s="8" t="s">
        <v>30</v>
      </c>
      <c r="D54" s="28">
        <f t="shared" si="0"/>
        <v>2</v>
      </c>
      <c r="E54" s="28">
        <f t="shared" si="1"/>
        <v>1</v>
      </c>
      <c r="F54" s="8" t="s">
        <v>40</v>
      </c>
    </row>
    <row r="55" spans="1:6">
      <c r="A55" t="s">
        <v>163</v>
      </c>
      <c r="B55" t="s">
        <v>37</v>
      </c>
      <c r="C55" s="8" t="s">
        <v>30</v>
      </c>
      <c r="D55" s="28">
        <f t="shared" si="0"/>
        <v>1</v>
      </c>
      <c r="E55" s="28">
        <f t="shared" si="1"/>
        <v>1</v>
      </c>
      <c r="F55" s="8" t="s">
        <v>40</v>
      </c>
    </row>
    <row r="56" spans="1:6">
      <c r="A56" t="s">
        <v>271</v>
      </c>
      <c r="B56" t="s">
        <v>37</v>
      </c>
      <c r="C56" s="8" t="s">
        <v>30</v>
      </c>
      <c r="D56" s="28">
        <f t="shared" si="0"/>
        <v>1</v>
      </c>
      <c r="E56" s="28">
        <f t="shared" si="1"/>
        <v>1</v>
      </c>
      <c r="F56" s="8" t="s">
        <v>32</v>
      </c>
    </row>
    <row r="57" spans="1:6">
      <c r="A57" t="s">
        <v>155</v>
      </c>
      <c r="B57" t="s">
        <v>37</v>
      </c>
      <c r="C57" s="8" t="s">
        <v>30</v>
      </c>
      <c r="D57" s="28">
        <f t="shared" si="0"/>
        <v>1</v>
      </c>
      <c r="E57" s="28">
        <f t="shared" si="1"/>
        <v>1</v>
      </c>
      <c r="F57" s="8" t="s">
        <v>40</v>
      </c>
    </row>
    <row r="58" spans="1:6">
      <c r="A58" t="s">
        <v>238</v>
      </c>
      <c r="B58" t="s">
        <v>37</v>
      </c>
      <c r="C58" s="8" t="s">
        <v>140</v>
      </c>
      <c r="D58" s="28">
        <f t="shared" si="0"/>
        <v>1</v>
      </c>
      <c r="E58" s="28">
        <f t="shared" si="1"/>
        <v>1</v>
      </c>
      <c r="F58" s="8" t="s">
        <v>40</v>
      </c>
    </row>
    <row r="59" spans="1:6">
      <c r="A59" t="s">
        <v>302</v>
      </c>
      <c r="B59" t="s">
        <v>37</v>
      </c>
      <c r="C59" s="8" t="s">
        <v>140</v>
      </c>
      <c r="D59" s="28">
        <f t="shared" si="0"/>
        <v>1</v>
      </c>
      <c r="E59" s="28">
        <f t="shared" si="1"/>
        <v>1</v>
      </c>
      <c r="F59" s="8" t="s">
        <v>32</v>
      </c>
    </row>
    <row r="60" spans="1:6">
      <c r="A60" t="s">
        <v>138</v>
      </c>
      <c r="B60" t="s">
        <v>37</v>
      </c>
      <c r="C60" s="8" t="s">
        <v>140</v>
      </c>
      <c r="D60" s="28">
        <f t="shared" si="0"/>
        <v>1</v>
      </c>
      <c r="E60" s="28">
        <f t="shared" si="1"/>
        <v>1</v>
      </c>
      <c r="F60" s="8" t="s">
        <v>40</v>
      </c>
    </row>
    <row r="61" spans="1:6" ht="30.75">
      <c r="A61" t="s">
        <v>390</v>
      </c>
      <c r="B61" t="s">
        <v>29</v>
      </c>
      <c r="C61" s="8" t="s">
        <v>391</v>
      </c>
      <c r="D61" s="28">
        <f t="shared" si="0"/>
        <v>3</v>
      </c>
      <c r="E61" s="28">
        <f t="shared" si="1"/>
        <v>1</v>
      </c>
      <c r="F61" s="8" t="s">
        <v>40</v>
      </c>
    </row>
    <row r="62" spans="1:6" ht="30.75">
      <c r="A62" t="s">
        <v>109</v>
      </c>
      <c r="B62" t="s">
        <v>29</v>
      </c>
      <c r="C62" s="8" t="s">
        <v>391</v>
      </c>
      <c r="D62" s="28">
        <f t="shared" si="0"/>
        <v>8</v>
      </c>
      <c r="E62" s="28">
        <f t="shared" si="1"/>
        <v>3</v>
      </c>
      <c r="F62" s="8" t="s">
        <v>40</v>
      </c>
    </row>
    <row r="63" spans="1:6">
      <c r="A63" t="s">
        <v>250</v>
      </c>
      <c r="B63" t="s">
        <v>29</v>
      </c>
      <c r="C63" s="8" t="s">
        <v>212</v>
      </c>
      <c r="D63" s="28">
        <f t="shared" si="0"/>
        <v>7</v>
      </c>
      <c r="E63" s="28">
        <f t="shared" si="1"/>
        <v>4</v>
      </c>
      <c r="F63" s="8" t="s">
        <v>40</v>
      </c>
    </row>
    <row r="64" spans="1:6">
      <c r="A64" t="s">
        <v>210</v>
      </c>
      <c r="B64" t="s">
        <v>29</v>
      </c>
      <c r="C64" s="8" t="s">
        <v>212</v>
      </c>
      <c r="D64" s="28">
        <f t="shared" si="0"/>
        <v>1</v>
      </c>
      <c r="E64" s="28">
        <f t="shared" si="1"/>
        <v>1</v>
      </c>
      <c r="F64" s="8" t="s">
        <v>40</v>
      </c>
    </row>
    <row r="65" spans="1:6">
      <c r="A65" t="s">
        <v>98</v>
      </c>
      <c r="B65" t="s">
        <v>29</v>
      </c>
      <c r="C65" s="8" t="s">
        <v>212</v>
      </c>
      <c r="D65" s="28">
        <f t="shared" si="0"/>
        <v>3</v>
      </c>
      <c r="E65" s="28">
        <f t="shared" si="1"/>
        <v>2</v>
      </c>
      <c r="F65" s="8" t="s">
        <v>40</v>
      </c>
    </row>
    <row r="66" spans="1:6">
      <c r="A66" t="s">
        <v>87</v>
      </c>
      <c r="B66" t="s">
        <v>29</v>
      </c>
      <c r="C66" s="8" t="s">
        <v>392</v>
      </c>
      <c r="D66" s="28">
        <f t="shared" si="0"/>
        <v>4</v>
      </c>
      <c r="E66" s="28">
        <f t="shared" si="1"/>
        <v>2</v>
      </c>
      <c r="F66" s="8" t="s">
        <v>40</v>
      </c>
    </row>
    <row r="67" spans="1:6">
      <c r="A67" t="s">
        <v>109</v>
      </c>
      <c r="B67" t="s">
        <v>29</v>
      </c>
      <c r="C67" s="8" t="s">
        <v>392</v>
      </c>
      <c r="D67" s="28">
        <f t="shared" si="0"/>
        <v>8</v>
      </c>
      <c r="E67" s="28">
        <f t="shared" si="1"/>
        <v>3</v>
      </c>
      <c r="F67" s="8" t="s">
        <v>40</v>
      </c>
    </row>
    <row r="68" spans="1:6">
      <c r="A68" t="s">
        <v>69</v>
      </c>
      <c r="B68" t="s">
        <v>29</v>
      </c>
      <c r="C68" s="8" t="s">
        <v>392</v>
      </c>
      <c r="D68" s="28">
        <f t="shared" si="0"/>
        <v>2</v>
      </c>
      <c r="E68" s="28">
        <f t="shared" si="1"/>
        <v>2</v>
      </c>
      <c r="F68" s="8" t="s">
        <v>40</v>
      </c>
    </row>
    <row r="69" spans="1:6">
      <c r="A69" t="s">
        <v>250</v>
      </c>
      <c r="B69" t="s">
        <v>29</v>
      </c>
      <c r="C69" s="8" t="s">
        <v>392</v>
      </c>
      <c r="D69" s="28">
        <f t="shared" si="0"/>
        <v>7</v>
      </c>
      <c r="E69" s="28">
        <f t="shared" si="1"/>
        <v>4</v>
      </c>
      <c r="F69" s="8" t="s">
        <v>40</v>
      </c>
    </row>
    <row r="70" spans="1:6" ht="30.75">
      <c r="A70" t="s">
        <v>250</v>
      </c>
      <c r="B70" t="s">
        <v>29</v>
      </c>
      <c r="C70" s="8" t="s">
        <v>393</v>
      </c>
      <c r="D70" s="28">
        <f t="shared" ref="D70:D119" si="2">COUNTIF($A$5:$A$119,A70)</f>
        <v>7</v>
      </c>
      <c r="E70" s="28">
        <f t="shared" ref="E70:E119" si="3">COUNTIFS($A$5:$A$119,A70,$B$5:$B$119,B70)</f>
        <v>4</v>
      </c>
      <c r="F70" s="8" t="s">
        <v>40</v>
      </c>
    </row>
    <row r="71" spans="1:6" ht="30.75">
      <c r="A71" t="s">
        <v>359</v>
      </c>
      <c r="B71" t="s">
        <v>29</v>
      </c>
      <c r="C71" s="8" t="s">
        <v>105</v>
      </c>
      <c r="D71" s="28">
        <f t="shared" si="2"/>
        <v>2</v>
      </c>
      <c r="E71" s="28">
        <f t="shared" si="3"/>
        <v>1</v>
      </c>
      <c r="F71" s="8" t="s">
        <v>40</v>
      </c>
    </row>
    <row r="72" spans="1:6" ht="30.75">
      <c r="A72" t="s">
        <v>243</v>
      </c>
      <c r="B72" t="s">
        <v>29</v>
      </c>
      <c r="C72" s="8" t="s">
        <v>105</v>
      </c>
      <c r="D72" s="28">
        <f t="shared" si="2"/>
        <v>2</v>
      </c>
      <c r="E72" s="28">
        <f t="shared" si="3"/>
        <v>1</v>
      </c>
      <c r="F72" s="8" t="s">
        <v>32</v>
      </c>
    </row>
    <row r="73" spans="1:6" ht="30.75">
      <c r="A73" t="s">
        <v>344</v>
      </c>
      <c r="B73" t="s">
        <v>29</v>
      </c>
      <c r="C73" s="8" t="s">
        <v>105</v>
      </c>
      <c r="D73" s="28">
        <f t="shared" si="2"/>
        <v>2</v>
      </c>
      <c r="E73" s="28">
        <f t="shared" si="3"/>
        <v>1</v>
      </c>
      <c r="F73" s="8" t="s">
        <v>40</v>
      </c>
    </row>
    <row r="74" spans="1:6" ht="30.75">
      <c r="A74" t="s">
        <v>115</v>
      </c>
      <c r="B74" t="s">
        <v>29</v>
      </c>
      <c r="C74" s="8" t="s">
        <v>105</v>
      </c>
      <c r="D74" s="28">
        <f t="shared" si="2"/>
        <v>1</v>
      </c>
      <c r="E74" s="28">
        <f t="shared" si="3"/>
        <v>1</v>
      </c>
      <c r="F74" s="8" t="s">
        <v>40</v>
      </c>
    </row>
    <row r="75" spans="1:6" ht="30.75">
      <c r="A75" t="s">
        <v>281</v>
      </c>
      <c r="B75" t="s">
        <v>29</v>
      </c>
      <c r="C75" s="8" t="s">
        <v>105</v>
      </c>
      <c r="D75" s="28">
        <f t="shared" si="2"/>
        <v>2</v>
      </c>
      <c r="E75" s="28">
        <f t="shared" si="3"/>
        <v>1</v>
      </c>
      <c r="F75" s="8" t="s">
        <v>40</v>
      </c>
    </row>
    <row r="76" spans="1:6" ht="30.75">
      <c r="A76" t="s">
        <v>87</v>
      </c>
      <c r="B76" t="s">
        <v>29</v>
      </c>
      <c r="C76" s="8" t="s">
        <v>105</v>
      </c>
      <c r="D76" s="28">
        <f t="shared" si="2"/>
        <v>4</v>
      </c>
      <c r="E76" s="28">
        <f t="shared" si="3"/>
        <v>2</v>
      </c>
      <c r="F76" s="8" t="s">
        <v>40</v>
      </c>
    </row>
    <row r="77" spans="1:6" ht="30.75">
      <c r="A77" t="s">
        <v>183</v>
      </c>
      <c r="B77" t="s">
        <v>29</v>
      </c>
      <c r="C77" s="8" t="s">
        <v>105</v>
      </c>
      <c r="D77" s="28">
        <f t="shared" si="2"/>
        <v>1</v>
      </c>
      <c r="E77" s="28">
        <f t="shared" si="3"/>
        <v>1</v>
      </c>
      <c r="F77" s="8" t="s">
        <v>32</v>
      </c>
    </row>
    <row r="78" spans="1:6" ht="30.75">
      <c r="A78" t="s">
        <v>267</v>
      </c>
      <c r="B78" t="s">
        <v>29</v>
      </c>
      <c r="C78" s="8" t="s">
        <v>105</v>
      </c>
      <c r="D78" s="28">
        <f t="shared" si="2"/>
        <v>2</v>
      </c>
      <c r="E78" s="28">
        <f t="shared" si="3"/>
        <v>1</v>
      </c>
      <c r="F78" s="8" t="s">
        <v>40</v>
      </c>
    </row>
    <row r="79" spans="1:6" ht="30.75">
      <c r="A79" t="s">
        <v>256</v>
      </c>
      <c r="B79" t="s">
        <v>29</v>
      </c>
      <c r="C79" s="8" t="s">
        <v>105</v>
      </c>
      <c r="D79" s="28">
        <f t="shared" si="2"/>
        <v>2</v>
      </c>
      <c r="E79" s="28">
        <f t="shared" si="3"/>
        <v>1</v>
      </c>
      <c r="F79" s="8" t="s">
        <v>32</v>
      </c>
    </row>
    <row r="80" spans="1:6" ht="30.75">
      <c r="A80" t="s">
        <v>103</v>
      </c>
      <c r="B80" t="s">
        <v>29</v>
      </c>
      <c r="C80" s="8" t="s">
        <v>105</v>
      </c>
      <c r="D80" s="28">
        <f t="shared" si="2"/>
        <v>1</v>
      </c>
      <c r="E80" s="28">
        <f t="shared" si="3"/>
        <v>1</v>
      </c>
      <c r="F80" s="8" t="s">
        <v>32</v>
      </c>
    </row>
    <row r="81" spans="1:6" ht="30.75">
      <c r="A81" t="s">
        <v>46</v>
      </c>
      <c r="B81" t="s">
        <v>29</v>
      </c>
      <c r="C81" s="8" t="s">
        <v>105</v>
      </c>
      <c r="D81" s="28">
        <f t="shared" si="2"/>
        <v>2</v>
      </c>
      <c r="E81" s="28">
        <f t="shared" si="3"/>
        <v>1</v>
      </c>
      <c r="F81" s="8" t="s">
        <v>40</v>
      </c>
    </row>
    <row r="82" spans="1:6" ht="30.75">
      <c r="A82" t="s">
        <v>389</v>
      </c>
      <c r="B82" t="s">
        <v>29</v>
      </c>
      <c r="C82" s="8" t="s">
        <v>105</v>
      </c>
      <c r="D82" s="28">
        <f t="shared" si="2"/>
        <v>4</v>
      </c>
      <c r="E82" s="28">
        <f t="shared" si="3"/>
        <v>1</v>
      </c>
      <c r="F82" s="8" t="s">
        <v>40</v>
      </c>
    </row>
    <row r="83" spans="1:6" ht="30.75">
      <c r="A83" t="s">
        <v>220</v>
      </c>
      <c r="B83" t="s">
        <v>29</v>
      </c>
      <c r="C83" s="8" t="s">
        <v>105</v>
      </c>
      <c r="D83" s="28">
        <f t="shared" si="2"/>
        <v>2</v>
      </c>
      <c r="E83" s="28">
        <f t="shared" si="3"/>
        <v>1</v>
      </c>
      <c r="F83" s="8" t="s">
        <v>40</v>
      </c>
    </row>
    <row r="84" spans="1:6" ht="30.75">
      <c r="A84" t="s">
        <v>63</v>
      </c>
      <c r="B84" t="s">
        <v>29</v>
      </c>
      <c r="C84" s="8" t="s">
        <v>105</v>
      </c>
      <c r="D84" s="28">
        <f t="shared" si="2"/>
        <v>2</v>
      </c>
      <c r="E84" s="28">
        <f t="shared" si="3"/>
        <v>1</v>
      </c>
      <c r="F84" s="8" t="s">
        <v>40</v>
      </c>
    </row>
    <row r="85" spans="1:6" ht="30.75">
      <c r="A85" t="s">
        <v>93</v>
      </c>
      <c r="B85" t="s">
        <v>29</v>
      </c>
      <c r="C85" s="8" t="s">
        <v>105</v>
      </c>
      <c r="D85" s="28">
        <f t="shared" si="2"/>
        <v>3</v>
      </c>
      <c r="E85" s="28">
        <f t="shared" si="3"/>
        <v>1</v>
      </c>
      <c r="F85" s="8" t="s">
        <v>40</v>
      </c>
    </row>
    <row r="86" spans="1:6" ht="30.75">
      <c r="A86" t="s">
        <v>189</v>
      </c>
      <c r="B86" t="s">
        <v>29</v>
      </c>
      <c r="C86" s="8" t="s">
        <v>105</v>
      </c>
      <c r="D86" s="28">
        <f t="shared" si="2"/>
        <v>1</v>
      </c>
      <c r="E86" s="28">
        <f t="shared" si="3"/>
        <v>1</v>
      </c>
      <c r="F86" s="8" t="s">
        <v>32</v>
      </c>
    </row>
    <row r="87" spans="1:6" ht="30.75">
      <c r="A87" t="s">
        <v>109</v>
      </c>
      <c r="B87" t="s">
        <v>29</v>
      </c>
      <c r="C87" s="8" t="s">
        <v>105</v>
      </c>
      <c r="D87" s="28">
        <f t="shared" si="2"/>
        <v>8</v>
      </c>
      <c r="E87" s="28">
        <f t="shared" si="3"/>
        <v>3</v>
      </c>
      <c r="F87" s="8" t="s">
        <v>40</v>
      </c>
    </row>
    <row r="88" spans="1:6" ht="30.75">
      <c r="A88" t="s">
        <v>69</v>
      </c>
      <c r="B88" t="s">
        <v>29</v>
      </c>
      <c r="C88" s="8" t="s">
        <v>105</v>
      </c>
      <c r="D88" s="28">
        <f t="shared" si="2"/>
        <v>2</v>
      </c>
      <c r="E88" s="28">
        <f t="shared" si="3"/>
        <v>2</v>
      </c>
      <c r="F88" s="8" t="s">
        <v>40</v>
      </c>
    </row>
    <row r="89" spans="1:6" ht="30.75">
      <c r="A89" t="s">
        <v>122</v>
      </c>
      <c r="B89" t="s">
        <v>29</v>
      </c>
      <c r="C89" s="8" t="s">
        <v>105</v>
      </c>
      <c r="D89" s="28">
        <f t="shared" si="2"/>
        <v>2</v>
      </c>
      <c r="E89" s="28">
        <f t="shared" si="3"/>
        <v>1</v>
      </c>
      <c r="F89" s="8" t="s">
        <v>40</v>
      </c>
    </row>
    <row r="90" spans="1:6" ht="30.75">
      <c r="A90" t="s">
        <v>331</v>
      </c>
      <c r="B90" t="s">
        <v>29</v>
      </c>
      <c r="C90" s="8" t="s">
        <v>105</v>
      </c>
      <c r="D90" s="28">
        <f t="shared" si="2"/>
        <v>3</v>
      </c>
      <c r="E90" s="28">
        <f t="shared" si="3"/>
        <v>2</v>
      </c>
      <c r="F90" s="8" t="s">
        <v>32</v>
      </c>
    </row>
    <row r="91" spans="1:6" ht="30.75">
      <c r="A91" t="s">
        <v>216</v>
      </c>
      <c r="B91" t="s">
        <v>29</v>
      </c>
      <c r="C91" s="8" t="s">
        <v>105</v>
      </c>
      <c r="D91" s="28">
        <f t="shared" si="2"/>
        <v>2</v>
      </c>
      <c r="E91" s="28">
        <f t="shared" si="3"/>
        <v>1</v>
      </c>
      <c r="F91" s="8" t="s">
        <v>40</v>
      </c>
    </row>
    <row r="92" spans="1:6" ht="30.75">
      <c r="A92" t="s">
        <v>353</v>
      </c>
      <c r="B92" t="s">
        <v>29</v>
      </c>
      <c r="C92" s="8" t="s">
        <v>105</v>
      </c>
      <c r="D92" s="28">
        <f t="shared" si="2"/>
        <v>3</v>
      </c>
      <c r="E92" s="28">
        <f t="shared" si="3"/>
        <v>1</v>
      </c>
      <c r="F92" s="8" t="s">
        <v>40</v>
      </c>
    </row>
    <row r="93" spans="1:6" ht="30.75">
      <c r="A93" t="s">
        <v>125</v>
      </c>
      <c r="B93" t="s">
        <v>29</v>
      </c>
      <c r="C93" s="8" t="s">
        <v>105</v>
      </c>
      <c r="D93" s="28">
        <f t="shared" si="2"/>
        <v>3</v>
      </c>
      <c r="E93" s="28">
        <f t="shared" si="3"/>
        <v>1</v>
      </c>
      <c r="F93" s="8" t="s">
        <v>40</v>
      </c>
    </row>
    <row r="94" spans="1:6" ht="30.75">
      <c r="A94" t="s">
        <v>339</v>
      </c>
      <c r="B94" t="s">
        <v>29</v>
      </c>
      <c r="C94" s="8" t="s">
        <v>105</v>
      </c>
      <c r="D94" s="28">
        <f t="shared" si="2"/>
        <v>2</v>
      </c>
      <c r="E94" s="28">
        <f t="shared" si="3"/>
        <v>1</v>
      </c>
      <c r="F94" s="8" t="s">
        <v>40</v>
      </c>
    </row>
    <row r="95" spans="1:6" ht="30.75">
      <c r="A95" t="s">
        <v>250</v>
      </c>
      <c r="B95" t="s">
        <v>29</v>
      </c>
      <c r="C95" s="8" t="s">
        <v>105</v>
      </c>
      <c r="D95" s="28">
        <f t="shared" si="2"/>
        <v>7</v>
      </c>
      <c r="E95" s="28">
        <f t="shared" si="3"/>
        <v>4</v>
      </c>
      <c r="F95" s="8" t="s">
        <v>40</v>
      </c>
    </row>
    <row r="96" spans="1:6" ht="30.75">
      <c r="A96" t="s">
        <v>363</v>
      </c>
      <c r="B96" t="s">
        <v>29</v>
      </c>
      <c r="C96" s="8" t="s">
        <v>105</v>
      </c>
      <c r="D96" s="28">
        <f t="shared" si="2"/>
        <v>2</v>
      </c>
      <c r="E96" s="28">
        <f t="shared" si="3"/>
        <v>1</v>
      </c>
      <c r="F96" s="8" t="s">
        <v>32</v>
      </c>
    </row>
    <row r="97" spans="1:6" ht="30.75">
      <c r="A97" t="s">
        <v>275</v>
      </c>
      <c r="B97" t="s">
        <v>29</v>
      </c>
      <c r="C97" s="8" t="s">
        <v>105</v>
      </c>
      <c r="D97" s="28">
        <f t="shared" si="2"/>
        <v>2</v>
      </c>
      <c r="E97" s="28">
        <f t="shared" si="3"/>
        <v>1</v>
      </c>
      <c r="F97" s="8" t="s">
        <v>40</v>
      </c>
    </row>
    <row r="98" spans="1:6" ht="30.75">
      <c r="A98" t="s">
        <v>98</v>
      </c>
      <c r="B98" t="s">
        <v>29</v>
      </c>
      <c r="C98" s="8" t="s">
        <v>105</v>
      </c>
      <c r="D98" s="28">
        <f t="shared" si="2"/>
        <v>3</v>
      </c>
      <c r="E98" s="28">
        <f t="shared" si="3"/>
        <v>2</v>
      </c>
      <c r="F98" s="8" t="s">
        <v>40</v>
      </c>
    </row>
    <row r="99" spans="1:6" ht="30.75">
      <c r="A99" t="s">
        <v>331</v>
      </c>
      <c r="B99" t="s">
        <v>29</v>
      </c>
      <c r="C99" s="8" t="s">
        <v>394</v>
      </c>
      <c r="D99" s="28">
        <f t="shared" si="2"/>
        <v>3</v>
      </c>
      <c r="E99" s="28">
        <f t="shared" si="3"/>
        <v>2</v>
      </c>
      <c r="F99" s="8" t="s">
        <v>32</v>
      </c>
    </row>
    <row r="100" spans="1:6" ht="30.75">
      <c r="A100" t="s">
        <v>390</v>
      </c>
      <c r="B100" t="s">
        <v>127</v>
      </c>
      <c r="C100" s="8" t="s">
        <v>263</v>
      </c>
      <c r="D100" s="28">
        <f t="shared" si="2"/>
        <v>3</v>
      </c>
      <c r="E100" s="28">
        <f t="shared" si="3"/>
        <v>2</v>
      </c>
      <c r="F100" s="8" t="s">
        <v>40</v>
      </c>
    </row>
    <row r="101" spans="1:6" ht="30.75">
      <c r="A101" t="s">
        <v>109</v>
      </c>
      <c r="B101" t="s">
        <v>127</v>
      </c>
      <c r="C101" s="8" t="s">
        <v>263</v>
      </c>
      <c r="D101" s="28">
        <f t="shared" si="2"/>
        <v>8</v>
      </c>
      <c r="E101" s="28">
        <f t="shared" si="3"/>
        <v>2</v>
      </c>
      <c r="F101" s="8" t="s">
        <v>40</v>
      </c>
    </row>
    <row r="102" spans="1:6" ht="30.75">
      <c r="A102" t="s">
        <v>261</v>
      </c>
      <c r="B102" t="s">
        <v>127</v>
      </c>
      <c r="C102" s="8" t="s">
        <v>263</v>
      </c>
      <c r="D102" s="28">
        <f t="shared" si="2"/>
        <v>1</v>
      </c>
      <c r="E102" s="28">
        <f t="shared" si="3"/>
        <v>1</v>
      </c>
      <c r="F102" s="8" t="s">
        <v>32</v>
      </c>
    </row>
    <row r="103" spans="1:6" ht="30.75">
      <c r="A103" t="s">
        <v>250</v>
      </c>
      <c r="B103" t="s">
        <v>127</v>
      </c>
      <c r="C103" s="8" t="s">
        <v>263</v>
      </c>
      <c r="D103" s="28">
        <f t="shared" si="2"/>
        <v>7</v>
      </c>
      <c r="E103" s="28">
        <f t="shared" si="3"/>
        <v>1</v>
      </c>
      <c r="F103" s="8" t="s">
        <v>40</v>
      </c>
    </row>
    <row r="104" spans="1:6" ht="30.75">
      <c r="A104" t="s">
        <v>390</v>
      </c>
      <c r="B104" t="s">
        <v>127</v>
      </c>
      <c r="C104" s="8" t="s">
        <v>395</v>
      </c>
      <c r="D104" s="28">
        <f t="shared" si="2"/>
        <v>3</v>
      </c>
      <c r="E104" s="28">
        <f t="shared" si="3"/>
        <v>2</v>
      </c>
      <c r="F104" s="8" t="s">
        <v>40</v>
      </c>
    </row>
    <row r="105" spans="1:6" ht="30.75">
      <c r="A105" t="s">
        <v>46</v>
      </c>
      <c r="B105" t="s">
        <v>127</v>
      </c>
      <c r="C105" s="8" t="s">
        <v>395</v>
      </c>
      <c r="D105" s="28">
        <f t="shared" si="2"/>
        <v>2</v>
      </c>
      <c r="E105" s="28">
        <f t="shared" si="3"/>
        <v>1</v>
      </c>
      <c r="F105" s="8" t="s">
        <v>40</v>
      </c>
    </row>
    <row r="106" spans="1:6" ht="30.75">
      <c r="A106" t="s">
        <v>93</v>
      </c>
      <c r="B106" t="s">
        <v>127</v>
      </c>
      <c r="C106" s="8" t="s">
        <v>395</v>
      </c>
      <c r="D106" s="28">
        <f t="shared" si="2"/>
        <v>3</v>
      </c>
      <c r="E106" s="28">
        <f t="shared" si="3"/>
        <v>1</v>
      </c>
      <c r="F106" s="8" t="s">
        <v>40</v>
      </c>
    </row>
    <row r="107" spans="1:6" ht="30.75">
      <c r="A107" t="s">
        <v>109</v>
      </c>
      <c r="B107" t="s">
        <v>127</v>
      </c>
      <c r="C107" s="8" t="s">
        <v>395</v>
      </c>
      <c r="D107" s="28">
        <f t="shared" si="2"/>
        <v>8</v>
      </c>
      <c r="E107" s="28">
        <f t="shared" si="3"/>
        <v>2</v>
      </c>
      <c r="F107" s="8" t="s">
        <v>40</v>
      </c>
    </row>
    <row r="108" spans="1:6" ht="30.75">
      <c r="A108" t="s">
        <v>353</v>
      </c>
      <c r="B108" t="s">
        <v>127</v>
      </c>
      <c r="C108" s="8" t="s">
        <v>395</v>
      </c>
      <c r="D108" s="28">
        <f t="shared" si="2"/>
        <v>3</v>
      </c>
      <c r="E108" s="28">
        <f t="shared" si="3"/>
        <v>1</v>
      </c>
      <c r="F108" s="8" t="s">
        <v>40</v>
      </c>
    </row>
    <row r="109" spans="1:6" ht="30.75">
      <c r="A109" t="s">
        <v>125</v>
      </c>
      <c r="B109" t="s">
        <v>127</v>
      </c>
      <c r="C109" s="8" t="s">
        <v>395</v>
      </c>
      <c r="D109" s="28">
        <f t="shared" si="2"/>
        <v>3</v>
      </c>
      <c r="E109" s="28">
        <f t="shared" si="3"/>
        <v>1</v>
      </c>
      <c r="F109" s="8" t="s">
        <v>40</v>
      </c>
    </row>
    <row r="110" spans="1:6" ht="30.75">
      <c r="A110" t="s">
        <v>339</v>
      </c>
      <c r="B110" t="s">
        <v>127</v>
      </c>
      <c r="C110" s="8" t="s">
        <v>395</v>
      </c>
      <c r="D110" s="28">
        <f t="shared" si="2"/>
        <v>2</v>
      </c>
      <c r="E110" s="28">
        <f t="shared" si="3"/>
        <v>1</v>
      </c>
      <c r="F110" s="8" t="s">
        <v>40</v>
      </c>
    </row>
    <row r="111" spans="1:6" ht="30.75">
      <c r="A111" t="s">
        <v>363</v>
      </c>
      <c r="B111" t="s">
        <v>127</v>
      </c>
      <c r="C111" s="8" t="s">
        <v>395</v>
      </c>
      <c r="D111" s="28">
        <f t="shared" si="2"/>
        <v>2</v>
      </c>
      <c r="E111" s="28">
        <f t="shared" si="3"/>
        <v>1</v>
      </c>
      <c r="F111" s="8" t="s">
        <v>32</v>
      </c>
    </row>
    <row r="112" spans="1:6" ht="30.75">
      <c r="A112" t="s">
        <v>295</v>
      </c>
      <c r="B112" t="s">
        <v>81</v>
      </c>
      <c r="C112" s="8" t="s">
        <v>327</v>
      </c>
      <c r="D112" s="28">
        <f t="shared" si="2"/>
        <v>2</v>
      </c>
      <c r="E112" s="28">
        <f t="shared" si="3"/>
        <v>2</v>
      </c>
      <c r="F112" s="8" t="s">
        <v>40</v>
      </c>
    </row>
    <row r="113" spans="1:6" ht="30.75">
      <c r="A113" t="s">
        <v>326</v>
      </c>
      <c r="B113" t="s">
        <v>81</v>
      </c>
      <c r="C113" s="8" t="s">
        <v>327</v>
      </c>
      <c r="D113" s="28">
        <f t="shared" si="2"/>
        <v>1</v>
      </c>
      <c r="E113" s="28">
        <f t="shared" si="3"/>
        <v>1</v>
      </c>
      <c r="F113" s="8" t="s">
        <v>40</v>
      </c>
    </row>
    <row r="114" spans="1:6">
      <c r="A114" t="s">
        <v>389</v>
      </c>
      <c r="B114" t="s">
        <v>81</v>
      </c>
      <c r="C114" s="8" t="s">
        <v>82</v>
      </c>
      <c r="D114" s="28">
        <f t="shared" si="2"/>
        <v>4</v>
      </c>
      <c r="E114" s="28">
        <f t="shared" si="3"/>
        <v>1</v>
      </c>
      <c r="F114" s="8" t="s">
        <v>40</v>
      </c>
    </row>
    <row r="115" spans="1:6">
      <c r="A115" t="s">
        <v>79</v>
      </c>
      <c r="B115" t="s">
        <v>81</v>
      </c>
      <c r="C115" s="8" t="s">
        <v>82</v>
      </c>
      <c r="D115" s="28">
        <f t="shared" si="2"/>
        <v>1</v>
      </c>
      <c r="E115" s="28">
        <f t="shared" si="3"/>
        <v>1</v>
      </c>
      <c r="F115" s="8" t="s">
        <v>32</v>
      </c>
    </row>
    <row r="116" spans="1:6">
      <c r="A116" t="s">
        <v>109</v>
      </c>
      <c r="B116" t="s">
        <v>81</v>
      </c>
      <c r="C116" s="8" t="s">
        <v>82</v>
      </c>
      <c r="D116" s="28">
        <f t="shared" si="2"/>
        <v>8</v>
      </c>
      <c r="E116" s="28">
        <f t="shared" si="3"/>
        <v>1</v>
      </c>
      <c r="F116" s="8" t="s">
        <v>40</v>
      </c>
    </row>
    <row r="117" spans="1:6">
      <c r="A117" t="s">
        <v>295</v>
      </c>
      <c r="B117" t="s">
        <v>81</v>
      </c>
      <c r="C117" s="8" t="s">
        <v>140</v>
      </c>
      <c r="D117" s="28">
        <f t="shared" si="2"/>
        <v>2</v>
      </c>
      <c r="E117" s="28">
        <f t="shared" si="3"/>
        <v>2</v>
      </c>
      <c r="F117" s="8" t="s">
        <v>40</v>
      </c>
    </row>
    <row r="118" spans="1:6">
      <c r="A118" t="s">
        <v>109</v>
      </c>
      <c r="B118" t="s">
        <v>396</v>
      </c>
      <c r="C118" s="8" t="s">
        <v>140</v>
      </c>
      <c r="D118" s="28">
        <f t="shared" si="2"/>
        <v>8</v>
      </c>
      <c r="E118" s="28">
        <f t="shared" si="3"/>
        <v>1</v>
      </c>
      <c r="F118" s="8" t="s">
        <v>40</v>
      </c>
    </row>
    <row r="119" spans="1:6">
      <c r="A119" t="s">
        <v>250</v>
      </c>
      <c r="B119" t="s">
        <v>396</v>
      </c>
      <c r="C119" s="8" t="s">
        <v>140</v>
      </c>
      <c r="D119" s="28">
        <f t="shared" si="2"/>
        <v>7</v>
      </c>
      <c r="E119" s="28">
        <f t="shared" si="3"/>
        <v>1</v>
      </c>
      <c r="F119" s="8" t="s">
        <v>40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C91D-4FDA-481D-B62B-A5BDC3D22994}">
  <dimension ref="D1:O38"/>
  <sheetViews>
    <sheetView workbookViewId="0">
      <selection activeCell="J15" sqref="J15:L17"/>
    </sheetView>
  </sheetViews>
  <sheetFormatPr defaultRowHeight="15"/>
  <cols>
    <col min="4" max="4" width="38.140625" customWidth="1"/>
    <col min="5" max="5" width="20" customWidth="1"/>
    <col min="6" max="6" width="15.28515625" customWidth="1"/>
    <col min="7" max="9" width="13.7109375" customWidth="1"/>
    <col min="10" max="10" width="28.5703125" customWidth="1"/>
    <col min="11" max="12" width="17.140625" customWidth="1"/>
    <col min="13" max="15" width="13.7109375" customWidth="1"/>
  </cols>
  <sheetData>
    <row r="1" spans="4:15" ht="32.25" customHeight="1">
      <c r="D1" s="34" t="s">
        <v>397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4:15">
      <c r="D2" s="35" t="s">
        <v>398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4:15"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4:15" ht="21.75" customHeight="1">
      <c r="D4" s="36" t="s">
        <v>399</v>
      </c>
      <c r="E4" s="37"/>
      <c r="F4" s="37"/>
      <c r="G4" s="36" t="s">
        <v>400</v>
      </c>
      <c r="H4" s="37"/>
      <c r="I4" s="37"/>
      <c r="J4" s="36" t="s">
        <v>401</v>
      </c>
      <c r="K4" s="37"/>
      <c r="L4" s="37"/>
      <c r="M4" s="38" t="s">
        <v>402</v>
      </c>
      <c r="N4" s="39"/>
      <c r="O4" s="40"/>
    </row>
    <row r="5" spans="4:15" ht="48" customHeight="1">
      <c r="D5" s="41">
        <f>COUNTA(Responses!$F$2:$F$70)</f>
        <v>69</v>
      </c>
      <c r="E5" s="42"/>
      <c r="F5" s="42"/>
      <c r="G5" s="43">
        <f>COUNTA('Certification Register'!$C$5:$C$119)</f>
        <v>115</v>
      </c>
      <c r="H5" s="42"/>
      <c r="I5" s="42"/>
      <c r="J5" s="43" cm="1">
        <f t="array" ref="J5">COUNTA(_xlfn.UNIQUE(_xlfn._xlws.FILTER('Certification Register'!$C$5:$C$119,'Certification Register'!$C$5:$C$119&lt;&gt;"")))</f>
        <v>13</v>
      </c>
      <c r="K5" s="42"/>
      <c r="L5" s="42"/>
      <c r="M5" s="44">
        <f>COUNTIF(Responses!$S$2:$S$70,"Yes*")/COUNTA(Responses!$F$2:$F$70)</f>
        <v>0.79710144927536231</v>
      </c>
      <c r="N5" s="45"/>
      <c r="O5" s="46"/>
    </row>
    <row r="6" spans="4:15" ht="21.75" customHeight="1">
      <c r="D6" s="47" t="s">
        <v>403</v>
      </c>
      <c r="E6" s="48"/>
      <c r="F6" s="48"/>
      <c r="G6" s="47" t="s">
        <v>404</v>
      </c>
      <c r="H6" s="48"/>
      <c r="I6" s="48"/>
      <c r="J6" s="47" t="s">
        <v>405</v>
      </c>
      <c r="K6" s="48"/>
      <c r="L6" s="48"/>
      <c r="M6" s="47" t="s">
        <v>406</v>
      </c>
      <c r="N6" s="48"/>
      <c r="O6" s="49"/>
    </row>
    <row r="7" spans="4:15"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4:15">
      <c r="D8" s="50" t="s">
        <v>407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4:15">
      <c r="D9" s="31" t="str">
        <f>"The workbook contains "&amp;TEXT(G5,"#,##0")&amp;" certification records across "&amp;TEXT(D5,"#,##0")&amp;" people and "&amp;TEXT(J5,"#,##0")&amp;" certification names. Foundation and Associate credentials account for "&amp;TEXT((COUNTIF('Certification Register'!$B$5:$B$119,"Foundation")+COUNTIF('Certification Register'!$B$5:$B$119,"Associate"))/G5,"0.0%")&amp;" of all records. Skill Builder consent has been provided by "&amp;TEXT(M5,"0.0%")&amp;" of respondents. Counts below remain linked to the register and response sheets."</f>
        <v>The workbook contains 115 certification records across 69 people and 13 certification names. Foundation and Associate credentials account for 82.6% of all records. Skill Builder consent has been provided by 79.7% of respondents. Counts below remain linked to the register and response sheets.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4:15"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spans="4:15"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4:15"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4:15">
      <c r="D13" s="51" t="s">
        <v>408</v>
      </c>
      <c r="E13" s="51"/>
      <c r="F13" s="51"/>
      <c r="G13" s="51"/>
      <c r="H13" s="51"/>
      <c r="I13" s="51"/>
      <c r="J13" s="52" t="s">
        <v>409</v>
      </c>
      <c r="K13" s="52"/>
      <c r="L13" s="52"/>
      <c r="M13" s="52"/>
      <c r="N13" s="52"/>
      <c r="O13" s="52"/>
    </row>
    <row r="14" spans="4:15">
      <c r="D14" s="16" t="s">
        <v>384</v>
      </c>
      <c r="E14" s="17" t="s">
        <v>410</v>
      </c>
      <c r="F14" s="9"/>
      <c r="G14" s="9"/>
      <c r="H14" s="9"/>
      <c r="I14" s="9"/>
      <c r="J14" s="21" t="s">
        <v>411</v>
      </c>
      <c r="K14" s="22" t="s">
        <v>412</v>
      </c>
      <c r="L14" s="23" t="s">
        <v>413</v>
      </c>
      <c r="M14" s="9"/>
      <c r="N14" s="9"/>
      <c r="O14" s="9"/>
    </row>
    <row r="15" spans="4:15">
      <c r="D15" s="10" t="s">
        <v>37</v>
      </c>
      <c r="E15" s="14">
        <f>COUNTIF('Certification Register'!$B$5:$B$119,D15)</f>
        <v>56</v>
      </c>
      <c r="F15" s="9"/>
      <c r="G15" s="9"/>
      <c r="H15" s="9"/>
      <c r="I15" s="9"/>
      <c r="J15" s="10" t="s">
        <v>40</v>
      </c>
      <c r="K15" s="27">
        <f>COUNTIF(Responses!$S$2:$S$70,J15)</f>
        <v>55</v>
      </c>
      <c r="L15" s="24">
        <f>COUNTIF('Certification Register'!$F$5:$F$119,J15)</f>
        <v>96</v>
      </c>
      <c r="M15" s="9"/>
      <c r="N15" s="9"/>
      <c r="O15" s="9"/>
    </row>
    <row r="16" spans="4:15">
      <c r="D16" s="11" t="s">
        <v>29</v>
      </c>
      <c r="E16" s="18">
        <f>COUNTIF('Certification Register'!$B$5:$B$119,D16)</f>
        <v>39</v>
      </c>
      <c r="F16" s="9"/>
      <c r="G16" s="9"/>
      <c r="H16" s="9"/>
      <c r="I16" s="9"/>
      <c r="J16" s="11" t="s">
        <v>32</v>
      </c>
      <c r="K16" s="26">
        <f>COUNTIF(Responses!$S$2:$S$70,J16)</f>
        <v>14</v>
      </c>
      <c r="L16" s="25">
        <f>COUNTIF('Certification Register'!$F$5:$F$119,J16)</f>
        <v>19</v>
      </c>
      <c r="M16" s="9"/>
      <c r="N16" s="9"/>
      <c r="O16" s="9"/>
    </row>
    <row r="17" spans="4:15">
      <c r="D17" s="10" t="s">
        <v>127</v>
      </c>
      <c r="E17" s="14">
        <f>COUNTIF('Certification Register'!$B$5:$B$119,D17)</f>
        <v>12</v>
      </c>
      <c r="F17" s="9"/>
      <c r="G17" s="9"/>
      <c r="H17" s="9"/>
      <c r="I17" s="9"/>
      <c r="J17" s="13" t="s">
        <v>414</v>
      </c>
      <c r="K17" s="12">
        <f>SUM(K15:K16)</f>
        <v>69</v>
      </c>
      <c r="L17" s="15">
        <f>SUM(L15:L16)</f>
        <v>115</v>
      </c>
      <c r="M17" s="9"/>
      <c r="N17" s="9"/>
      <c r="O17" s="9"/>
    </row>
    <row r="18" spans="4:15">
      <c r="D18" s="11" t="s">
        <v>81</v>
      </c>
      <c r="E18" s="18">
        <f>COUNTIF('Certification Register'!$B$5:$B$119,D18)</f>
        <v>6</v>
      </c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4:15">
      <c r="D19" s="10" t="s">
        <v>396</v>
      </c>
      <c r="E19" s="14">
        <f>COUNTIF('Certification Register'!$B$5:$B$119,D19)</f>
        <v>2</v>
      </c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4:15">
      <c r="D20" s="19" t="s">
        <v>414</v>
      </c>
      <c r="E20" s="20">
        <f>SUM(E15:E19)</f>
        <v>115</v>
      </c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4:15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4:15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4:15">
      <c r="D23" s="50" t="s">
        <v>415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</row>
    <row r="24" spans="4:15">
      <c r="D24" s="7" t="s">
        <v>385</v>
      </c>
      <c r="E24" s="7" t="s">
        <v>416</v>
      </c>
      <c r="F24" s="7" t="s">
        <v>410</v>
      </c>
      <c r="G24" s="9"/>
      <c r="H24" s="9"/>
      <c r="I24" s="9"/>
      <c r="J24" s="9"/>
      <c r="K24" s="9"/>
      <c r="L24" s="9"/>
      <c r="M24" s="9"/>
      <c r="N24" s="9"/>
      <c r="O24" s="9"/>
    </row>
    <row r="25" spans="4:15">
      <c r="D25" s="8" t="s">
        <v>148</v>
      </c>
      <c r="E25" t="s">
        <v>37</v>
      </c>
      <c r="F25" s="28">
        <f>COUNTIF('Certification Register'!$C$5:$C$119,D25)</f>
        <v>10</v>
      </c>
      <c r="G25" s="9"/>
      <c r="H25" s="9"/>
      <c r="I25" s="9"/>
      <c r="J25" s="9"/>
      <c r="K25" s="9"/>
      <c r="L25" s="9"/>
      <c r="M25" s="9"/>
      <c r="N25" s="9"/>
      <c r="O25" s="9"/>
    </row>
    <row r="26" spans="4:15">
      <c r="D26" s="8" t="s">
        <v>30</v>
      </c>
      <c r="E26" t="s">
        <v>37</v>
      </c>
      <c r="F26" s="28">
        <f>COUNTIF('Certification Register'!$C$5:$C$119,D26)</f>
        <v>43</v>
      </c>
      <c r="G26" s="9"/>
      <c r="H26" s="9"/>
      <c r="I26" s="9"/>
      <c r="J26" s="9"/>
      <c r="K26" s="9"/>
      <c r="L26" s="9"/>
      <c r="M26" s="9"/>
      <c r="N26" s="9"/>
      <c r="O26" s="9"/>
    </row>
    <row r="27" spans="4:15">
      <c r="D27" s="8" t="s">
        <v>140</v>
      </c>
      <c r="E27" t="s">
        <v>37</v>
      </c>
      <c r="F27" s="28">
        <f>COUNTIF('Certification Register'!$C$5:$C$119,D27)</f>
        <v>6</v>
      </c>
      <c r="G27" s="9"/>
      <c r="H27" s="9"/>
      <c r="I27" s="9"/>
      <c r="J27" s="9"/>
      <c r="K27" s="9"/>
      <c r="L27" s="9"/>
      <c r="M27" s="9"/>
      <c r="N27" s="9"/>
      <c r="O27" s="9"/>
    </row>
    <row r="28" spans="4:15" ht="30.75">
      <c r="D28" s="8" t="s">
        <v>391</v>
      </c>
      <c r="E28" t="s">
        <v>29</v>
      </c>
      <c r="F28" s="28">
        <f>COUNTIF('Certification Register'!$C$5:$C$119,D28)</f>
        <v>2</v>
      </c>
      <c r="G28" s="9"/>
      <c r="H28" s="9"/>
      <c r="I28" s="9"/>
      <c r="J28" s="9"/>
      <c r="K28" s="9"/>
      <c r="L28" s="9"/>
      <c r="M28" s="9"/>
      <c r="N28" s="9"/>
      <c r="O28" s="9"/>
    </row>
    <row r="29" spans="4:15">
      <c r="D29" s="8" t="s">
        <v>212</v>
      </c>
      <c r="E29" t="s">
        <v>29</v>
      </c>
      <c r="F29" s="28">
        <f>COUNTIF('Certification Register'!$C$5:$C$119,D29)</f>
        <v>3</v>
      </c>
      <c r="G29" s="9"/>
      <c r="H29" s="9"/>
      <c r="I29" s="9"/>
      <c r="J29" s="9"/>
      <c r="K29" s="9"/>
      <c r="L29" s="9"/>
      <c r="M29" s="9"/>
      <c r="N29" s="9"/>
      <c r="O29" s="9"/>
    </row>
    <row r="30" spans="4:15">
      <c r="D30" s="8" t="s">
        <v>392</v>
      </c>
      <c r="E30" t="s">
        <v>29</v>
      </c>
      <c r="F30" s="28">
        <f>COUNTIF('Certification Register'!$C$5:$C$119,D30)</f>
        <v>4</v>
      </c>
      <c r="G30" s="9"/>
      <c r="H30" s="9"/>
      <c r="I30" s="9"/>
      <c r="J30" s="9"/>
      <c r="K30" s="9"/>
      <c r="L30" s="9"/>
      <c r="M30" s="9"/>
      <c r="N30" s="9"/>
      <c r="O30" s="9"/>
    </row>
    <row r="31" spans="4:15" ht="30.75">
      <c r="D31" s="8" t="s">
        <v>393</v>
      </c>
      <c r="E31" t="s">
        <v>29</v>
      </c>
      <c r="F31" s="28">
        <f>COUNTIF('Certification Register'!$C$5:$C$119,D31)</f>
        <v>1</v>
      </c>
      <c r="G31" s="9"/>
      <c r="H31" s="9"/>
      <c r="I31" s="9"/>
      <c r="J31" s="9"/>
      <c r="K31" s="9"/>
      <c r="L31" s="9"/>
      <c r="M31" s="9"/>
      <c r="N31" s="9"/>
      <c r="O31" s="9"/>
    </row>
    <row r="32" spans="4:15" ht="30.75">
      <c r="D32" s="8" t="s">
        <v>105</v>
      </c>
      <c r="E32" t="s">
        <v>29</v>
      </c>
      <c r="F32" s="28">
        <f>COUNTIF('Certification Register'!$C$5:$C$119,D32)</f>
        <v>28</v>
      </c>
      <c r="G32" s="9"/>
      <c r="H32" s="9"/>
      <c r="I32" s="9"/>
      <c r="J32" s="9"/>
      <c r="K32" s="9"/>
      <c r="L32" s="9"/>
      <c r="M32" s="9"/>
      <c r="N32" s="9"/>
      <c r="O32" s="9"/>
    </row>
    <row r="33" spans="4:15" ht="30.75">
      <c r="D33" s="8" t="s">
        <v>394</v>
      </c>
      <c r="E33" t="s">
        <v>29</v>
      </c>
      <c r="F33" s="28">
        <f>COUNTIF('Certification Register'!$C$5:$C$119,D33)</f>
        <v>1</v>
      </c>
      <c r="G33" s="9"/>
      <c r="H33" s="9"/>
      <c r="I33" s="9"/>
      <c r="J33" s="9"/>
      <c r="K33" s="9"/>
      <c r="L33" s="9"/>
      <c r="M33" s="9"/>
      <c r="N33" s="9"/>
      <c r="O33" s="9"/>
    </row>
    <row r="34" spans="4:15" ht="30.75">
      <c r="D34" s="8" t="s">
        <v>263</v>
      </c>
      <c r="E34" t="s">
        <v>127</v>
      </c>
      <c r="F34" s="28">
        <f>COUNTIF('Certification Register'!$C$5:$C$119,D34)</f>
        <v>4</v>
      </c>
      <c r="G34" s="9"/>
      <c r="H34" s="9"/>
      <c r="I34" s="9"/>
      <c r="J34" s="9"/>
      <c r="K34" s="9"/>
      <c r="L34" s="9"/>
      <c r="M34" s="9"/>
      <c r="N34" s="9"/>
      <c r="O34" s="9"/>
    </row>
    <row r="35" spans="4:15" ht="30.75">
      <c r="D35" s="8" t="s">
        <v>395</v>
      </c>
      <c r="E35" t="s">
        <v>127</v>
      </c>
      <c r="F35" s="28">
        <f>COUNTIF('Certification Register'!$C$5:$C$119,D35)</f>
        <v>8</v>
      </c>
      <c r="G35" s="9"/>
      <c r="H35" s="9"/>
      <c r="I35" s="9"/>
      <c r="J35" s="9"/>
      <c r="K35" s="9"/>
      <c r="L35" s="9"/>
      <c r="M35" s="9"/>
      <c r="N35" s="9"/>
      <c r="O35" s="9"/>
    </row>
    <row r="36" spans="4:15" ht="30.75">
      <c r="D36" s="8" t="s">
        <v>327</v>
      </c>
      <c r="E36" t="s">
        <v>81</v>
      </c>
      <c r="F36" s="28">
        <f>COUNTIF('Certification Register'!$C$5:$C$119,D36)</f>
        <v>2</v>
      </c>
      <c r="G36" s="9"/>
      <c r="H36" s="9"/>
      <c r="I36" s="9"/>
      <c r="J36" s="9"/>
      <c r="K36" s="9"/>
      <c r="L36" s="9"/>
      <c r="M36" s="9"/>
      <c r="N36" s="9"/>
      <c r="O36" s="9"/>
    </row>
    <row r="37" spans="4:15">
      <c r="D37" s="8" t="s">
        <v>82</v>
      </c>
      <c r="E37" t="s">
        <v>81</v>
      </c>
      <c r="F37" s="28">
        <f>COUNTIF('Certification Register'!$C$5:$C$119,D37)</f>
        <v>3</v>
      </c>
    </row>
    <row r="38" spans="4:15">
      <c r="D38" s="29" t="s">
        <v>414</v>
      </c>
      <c r="E38" s="29"/>
      <c r="F38" s="30">
        <f>SUM(F25:F37)</f>
        <v>115</v>
      </c>
    </row>
  </sheetData>
  <mergeCells count="19">
    <mergeCell ref="D8:O8"/>
    <mergeCell ref="D9:O11"/>
    <mergeCell ref="D13:I13"/>
    <mergeCell ref="J13:O13"/>
    <mergeCell ref="D23:O23"/>
    <mergeCell ref="D1:O1"/>
    <mergeCell ref="D2:O2"/>
    <mergeCell ref="D4:F4"/>
    <mergeCell ref="D5:F5"/>
    <mergeCell ref="D6:F6"/>
    <mergeCell ref="G4:I4"/>
    <mergeCell ref="G5:I5"/>
    <mergeCell ref="G6:I6"/>
    <mergeCell ref="J4:L4"/>
    <mergeCell ref="J5:L5"/>
    <mergeCell ref="M4:O4"/>
    <mergeCell ref="M5:O5"/>
    <mergeCell ref="M6:O6"/>
    <mergeCell ref="J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2026-08-02T13:32:48Z</dcterms:created>
  <dcterms:modified xsi:type="dcterms:W3CDTF">2026-09-16T06:39:29Z</dcterms:modified>
  <cp:category/>
  <cp:contentStatus/>
</cp:coreProperties>
</file>