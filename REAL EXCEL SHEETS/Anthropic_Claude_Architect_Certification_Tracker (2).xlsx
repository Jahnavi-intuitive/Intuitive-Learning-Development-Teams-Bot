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intuitivetp.sharepoint.com/sites/IntuitiveCertifications/Shared Documents/Anthropic/Anthropic Claude Architect Certification/"/>
    </mc:Choice>
  </mc:AlternateContent>
  <xr:revisionPtr revIDLastSave="0" documentId="8_{3B3EA327-1132-4B45-941D-E4D52EFA4A2B}" xr6:coauthVersionLast="47" xr6:coauthVersionMax="47" xr10:uidLastSave="{00000000-0000-0000-0000-000000000000}"/>
  <bookViews>
    <workbookView xWindow="-108" yWindow="-108" windowWidth="23256" windowHeight="13896" tabRatio="500" firstSheet="1" activeTab="1" xr2:uid="{00000000-000D-0000-FFFF-FFFF00000000}"/>
  </bookViews>
  <sheets>
    <sheet name="Summary" sheetId="6" state="hidden" r:id="rId1"/>
    <sheet name="Detailed-Certification Tracker" sheetId="1" r:id="rId2"/>
    <sheet name="Issue Tracker" sheetId="5" state="hidden" r:id="rId3"/>
    <sheet name="Tracker by PD-Leader" sheetId="2" state="hidden" r:id="rId4"/>
    <sheet name="Tracker by Practice" sheetId="3" state="hidden" r:id="rId5"/>
    <sheet name="Coverage by Practice Director" sheetId="4" state="hidden" r:id="rId6"/>
  </sheets>
  <calcPr calcId="191028"/>
  <pivotCaches>
    <pivotCache cacheId="124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79" i="1" l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E17" i="4"/>
  <c r="D17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H15" i="3"/>
  <c r="G15" i="3"/>
  <c r="F15" i="3"/>
  <c r="E15" i="3"/>
  <c r="D15" i="3"/>
  <c r="H15" i="2"/>
  <c r="G15" i="2"/>
  <c r="F15" i="2"/>
  <c r="E15" i="2"/>
  <c r="D15" i="2"/>
</calcChain>
</file>

<file path=xl/sharedStrings.xml><?xml version="1.0" encoding="utf-8"?>
<sst xmlns="http://schemas.openxmlformats.org/spreadsheetml/2006/main" count="2258" uniqueCount="827">
  <si>
    <t>Count of Status</t>
  </si>
  <si>
    <t>Status</t>
  </si>
  <si>
    <t>PD/Leader</t>
  </si>
  <si>
    <t>Attempted - Not Cleared</t>
  </si>
  <si>
    <t>Certified</t>
  </si>
  <si>
    <t>In Progress</t>
  </si>
  <si>
    <t>(blank)</t>
  </si>
  <si>
    <t>Grand Total</t>
  </si>
  <si>
    <t>Ahmed Ali</t>
  </si>
  <si>
    <t>Barath Arivazhagan</t>
  </si>
  <si>
    <t>Bharath Babbur</t>
  </si>
  <si>
    <t>Bhavesh Shah</t>
  </si>
  <si>
    <t>Chett Rubenstein</t>
  </si>
  <si>
    <t>Dhairya Shah</t>
  </si>
  <si>
    <t>Mir Ali</t>
  </si>
  <si>
    <t>Mohammed Yakhoob</t>
  </si>
  <si>
    <t>Mukesh Kumar</t>
  </si>
  <si>
    <t>Murtaza Vajihee</t>
  </si>
  <si>
    <t>Navid Kalantari </t>
  </si>
  <si>
    <t>Prakash Patil</t>
  </si>
  <si>
    <t>Sriram Mani</t>
  </si>
  <si>
    <t>Stefano Pecora</t>
  </si>
  <si>
    <t>Unknown</t>
  </si>
  <si>
    <t xml:space="preserve">Vyas Sarangapani </t>
  </si>
  <si>
    <t>Jay Modh</t>
  </si>
  <si>
    <t>Mahesh Modi</t>
  </si>
  <si>
    <t>Biswajit Mohapatra</t>
  </si>
  <si>
    <t>Debrup Mondal</t>
  </si>
  <si>
    <t>Index</t>
  </si>
  <si>
    <t>Name</t>
  </si>
  <si>
    <t>Email ID</t>
  </si>
  <si>
    <t>Manager</t>
  </si>
  <si>
    <t>Practice</t>
  </si>
  <si>
    <t>Prep Start Date</t>
  </si>
  <si>
    <t>Exam Date</t>
  </si>
  <si>
    <t>Certificate Number</t>
  </si>
  <si>
    <t>Cerification submission Date</t>
  </si>
  <si>
    <t>Expiry Date</t>
  </si>
  <si>
    <t>Certificate Valid</t>
  </si>
  <si>
    <t>Comments</t>
  </si>
  <si>
    <t>Manager mail</t>
  </si>
  <si>
    <t>PD mail</t>
  </si>
  <si>
    <t>debrup.mondal@intuitive.ai</t>
  </si>
  <si>
    <t>David Hammond</t>
  </si>
  <si>
    <t>Data + AI</t>
  </si>
  <si>
    <t>bgw8tjgpg4ni</t>
  </si>
  <si>
    <t>chett.rubenstein@intuitive.ai</t>
  </si>
  <si>
    <t>Peter Turner</t>
  </si>
  <si>
    <t>peter.turner@intuitive.ai</t>
  </si>
  <si>
    <t>Cloud + Platform Engineering</t>
  </si>
  <si>
    <t>uyfq7riowafc</t>
  </si>
  <si>
    <t>sriram.mani@intuitive.ai</t>
  </si>
  <si>
    <t>Saurabh Singh</t>
  </si>
  <si>
    <t>saurabh.singh@intuitive.ai</t>
  </si>
  <si>
    <t>david.hammond@intuitive.ai</t>
  </si>
  <si>
    <t>Archit Pandita</t>
  </si>
  <si>
    <t>archit.pandita@intuitive.cloud</t>
  </si>
  <si>
    <t>Ankeit Taksh</t>
  </si>
  <si>
    <r>
      <t> </t>
    </r>
    <r>
      <rPr>
        <sz val="11"/>
        <color rgb="FF000000"/>
        <rFont val="Calibri"/>
        <family val="2"/>
        <charset val="1"/>
      </rPr>
      <t>jcntc6jwdjur</t>
    </r>
  </si>
  <si>
    <t>Deepak Garg</t>
  </si>
  <si>
    <t>deepak.garg@intuitive.cloud</t>
  </si>
  <si>
    <t>Khushi Carpenter</t>
  </si>
  <si>
    <t>khushi.carpenter@intuitive.ai</t>
  </si>
  <si>
    <t>Arindam Sarkar</t>
  </si>
  <si>
    <t>2efkdf3gezwm</t>
  </si>
  <si>
    <t>Saumil Shah</t>
  </si>
  <si>
    <t>saumil.shah@intuitive.cloud</t>
  </si>
  <si>
    <t>ujmpxr3abxxc</t>
  </si>
  <si>
    <t>Harisha Ramappa</t>
  </si>
  <si>
    <t>harisha.ramappa@intuitive.ai</t>
  </si>
  <si>
    <t>Lisa Sikkema</t>
  </si>
  <si>
    <t>udn87gck8zk6</t>
  </si>
  <si>
    <t>Ashutosh Mishra</t>
  </si>
  <si>
    <t>ashutosh.mishra@intuitive.ai</t>
  </si>
  <si>
    <t>Mahendra Bhandari</t>
  </si>
  <si>
    <t>u6htpwmgb998</t>
  </si>
  <si>
    <t>ma@intuitive.ai</t>
  </si>
  <si>
    <t>Sakshi Zalavadia</t>
  </si>
  <si>
    <t>sakshi.zalavadia@intuitive.cloud</t>
  </si>
  <si>
    <t>Vishal Kanade</t>
  </si>
  <si>
    <t>Engineering</t>
  </si>
  <si>
    <t>gpp6rju3fi5v.</t>
  </si>
  <si>
    <t>Devangi Goswami</t>
  </si>
  <si>
    <t>devangi.goswami@intuitive.cloud</t>
  </si>
  <si>
    <t>et9xyxv9djbz</t>
  </si>
  <si>
    <t>Liang Ren</t>
  </si>
  <si>
    <t>liang.ren@intuitive.ai</t>
  </si>
  <si>
    <t>Yassin Ali</t>
  </si>
  <si>
    <t>Cybersecurity</t>
  </si>
  <si>
    <t>fzaje8gdyxbw</t>
  </si>
  <si>
    <t>ahmed.ali@intuitive.ai</t>
  </si>
  <si>
    <t>Nicolas David</t>
  </si>
  <si>
    <t>nicolas.david@intuitive.ai</t>
  </si>
  <si>
    <t>Melapoondi V Lokesh</t>
  </si>
  <si>
    <t>melapoondi.lokesh@intuitive.ai</t>
  </si>
  <si>
    <t>App + DB Mod</t>
  </si>
  <si>
    <t>prakash.patil@intuitive.ai</t>
  </si>
  <si>
    <t>Adeeb Qazi</t>
  </si>
  <si>
    <t>adeeb.qazi@intuitive.cloud</t>
  </si>
  <si>
    <t>zy5i78magvim</t>
  </si>
  <si>
    <t>dhairya.shah@intuitive.cloud</t>
  </si>
  <si>
    <t>Network Engineering</t>
  </si>
  <si>
    <t>Haribaskar D</t>
  </si>
  <si>
    <t>hari.baskar@intuitive.ai</t>
  </si>
  <si>
    <t>Deepak Shekhar</t>
  </si>
  <si>
    <t>NetSec + SDx</t>
  </si>
  <si>
    <t>p5bfm4iibbt8</t>
  </si>
  <si>
    <t>mukesh.kumar@intuitive.ai</t>
  </si>
  <si>
    <t>Yatiraj Panchal</t>
  </si>
  <si>
    <t>yatiraj.panchal@intuitive.cloud</t>
  </si>
  <si>
    <t>xhuzdkrp6f7b</t>
  </si>
  <si>
    <t>Sathish Kumar Devasenathypathy</t>
  </si>
  <si>
    <t>sathish.devasenathypathy@intuitive.cloud</t>
  </si>
  <si>
    <t>Geethu Raj</t>
  </si>
  <si>
    <t>geethu.raj@intuitive.ai</t>
  </si>
  <si>
    <t>sz6u3cchctoo</t>
  </si>
  <si>
    <t>Loraine Carrasco</t>
  </si>
  <si>
    <t>loraine.carrasco@intuitive.cloud</t>
  </si>
  <si>
    <t>Mohammed Owais</t>
  </si>
  <si>
    <t>PMO</t>
  </si>
  <si>
    <t>mohammed.owais@intuitive.ai</t>
  </si>
  <si>
    <t>my@intuitive.ai</t>
  </si>
  <si>
    <t>Siva Bandarupalli</t>
  </si>
  <si>
    <t>siva.bandarupalli@intuitive.cloud</t>
  </si>
  <si>
    <t>Tony Boppuri</t>
  </si>
  <si>
    <t>8tnoos4j8xkk</t>
  </si>
  <si>
    <t>Christopher Dunbar</t>
  </si>
  <si>
    <t>christopher.dunbar@intuitive.ai</t>
  </si>
  <si>
    <t>Richard Dankworth</t>
  </si>
  <si>
    <t>Kyle Davis</t>
  </si>
  <si>
    <t>kyle.davis@intuitive.cloud</t>
  </si>
  <si>
    <t>Divya Chauhan</t>
  </si>
  <si>
    <t>divya.chauhan@intuitive.ai</t>
  </si>
  <si>
    <t>fhnh3aggivtc</t>
  </si>
  <si>
    <t>deepak.shekhar@intuitive.cloud</t>
  </si>
  <si>
    <t>ouab87af689m</t>
  </si>
  <si>
    <t>Tanay Joshi</t>
  </si>
  <si>
    <t>tanay.joshi@intuitive.ai</t>
  </si>
  <si>
    <t>mqubqibnfp82</t>
  </si>
  <si>
    <t>mukesh.kumar@intuitive.cloud</t>
  </si>
  <si>
    <t>sp@intuitive.ai</t>
  </si>
  <si>
    <t>Axat Shah</t>
  </si>
  <si>
    <t>axat.shah@intuitive.cloud</t>
  </si>
  <si>
    <t>Nitin Sharma</t>
  </si>
  <si>
    <t>7ei9fbkzp2w</t>
  </si>
  <si>
    <t>Satish Kumar</t>
  </si>
  <si>
    <t>satish.kumar@intuitive.cloud</t>
  </si>
  <si>
    <t>Ajay Pothini</t>
  </si>
  <si>
    <t>ajay.pothini@intuitive.ai</t>
  </si>
  <si>
    <t>Keval Hingu</t>
  </si>
  <si>
    <t>keval.hingu@intuitive.ai</t>
  </si>
  <si>
    <t>e3nazqi5xy6r</t>
  </si>
  <si>
    <t>Mohamed Kurdi</t>
  </si>
  <si>
    <t>mohamed.kurdi@intuitive.ai</t>
  </si>
  <si>
    <t>7ybpmfkb87b4</t>
  </si>
  <si>
    <t>Rajdeepsinh Jadeja</t>
  </si>
  <si>
    <t>rajdeepsinh.jadeja@intuitive.ai</t>
  </si>
  <si>
    <t>ngobazvzd9x4</t>
  </si>
  <si>
    <t xml:space="preserve">Dinesh Verma </t>
  </si>
  <si>
    <t>dinesh.verma@intuitive.cloud</t>
  </si>
  <si>
    <t>u2tio9s32q82</t>
  </si>
  <si>
    <t>Keith Corbett</t>
  </si>
  <si>
    <t>keith.corbett@intuitive.ai</t>
  </si>
  <si>
    <t>Pete Rivett</t>
  </si>
  <si>
    <t>peter.rivett@intuitive.ai</t>
  </si>
  <si>
    <t>Ayush Churi</t>
  </si>
  <si>
    <t>ayush.churi@intuitive.cloud</t>
  </si>
  <si>
    <t>Satyawan Mali</t>
  </si>
  <si>
    <t>satyawan.mali@intuitive.cloud</t>
  </si>
  <si>
    <t>xmm4dyt2gu4a</t>
  </si>
  <si>
    <t>Umamaheswari Challa</t>
  </si>
  <si>
    <t>umamaheswari.challa@intuitive.cloud</t>
  </si>
  <si>
    <t>sq65aegaen2h</t>
  </si>
  <si>
    <t>Sahil Garg</t>
  </si>
  <si>
    <t>sahil.garg@intuitive.ai</t>
  </si>
  <si>
    <t>Aditya Parmar</t>
  </si>
  <si>
    <t>aditya.parmar@intuitive.cloud</t>
  </si>
  <si>
    <t>Kiran Kumar</t>
  </si>
  <si>
    <t>rrgisapphue7</t>
  </si>
  <si>
    <t>Piyush Jalan</t>
  </si>
  <si>
    <t>piyush.jalan@intuitive.ai</t>
  </si>
  <si>
    <t>ake4kjreejpc</t>
  </si>
  <si>
    <t>Swarup Kulkarni</t>
  </si>
  <si>
    <t>swarup.kulkarni@intuitive.cloud</t>
  </si>
  <si>
    <t>966jjt622ry9</t>
  </si>
  <si>
    <t>Pooja Rana</t>
  </si>
  <si>
    <t>pooja.rana@intuitive.ai</t>
  </si>
  <si>
    <t>Rajesh Kumar Rout</t>
  </si>
  <si>
    <t>rajesh.rout@intuitive.ai</t>
  </si>
  <si>
    <t>Arjit Silojiya</t>
  </si>
  <si>
    <t>arjit.silojiya@intuitive.ai</t>
  </si>
  <si>
    <t>92t2zkguxnch</t>
  </si>
  <si>
    <t>Akshay Ketkar</t>
  </si>
  <si>
    <t>akshay.ketkar@intuitive.ai</t>
  </si>
  <si>
    <t>Vivek Mohan</t>
  </si>
  <si>
    <t>br54dwrovv4t</t>
  </si>
  <si>
    <t>Dr Ganesh Dhumal</t>
  </si>
  <si>
    <t>ganesh.dhumal@intuitive.ai</t>
  </si>
  <si>
    <t>fzeyeb3o8tyo</t>
  </si>
  <si>
    <t>Kelvi Manavadaria</t>
  </si>
  <si>
    <t>kelvi.manavadaria@intuitive.cloud</t>
  </si>
  <si>
    <t>v63vrzbrjkdk</t>
  </si>
  <si>
    <t>Brandon Collins</t>
  </si>
  <si>
    <t>brandon.collins@intuitive.ai</t>
  </si>
  <si>
    <t>Sean Taylor</t>
  </si>
  <si>
    <t>kjg78rmkmv4e</t>
  </si>
  <si>
    <t>Rahul Singh</t>
  </si>
  <si>
    <t>rahul.singh@intuitive.ai</t>
  </si>
  <si>
    <t>Saleh Al-Bualy</t>
  </si>
  <si>
    <t>saleh.al-bualy@intuitive.ai</t>
  </si>
  <si>
    <t>Mike Shilling</t>
  </si>
  <si>
    <t>mike.shilling@intuitive.ai</t>
  </si>
  <si>
    <t>Umar Khan</t>
  </si>
  <si>
    <t>umar.khan@intuitive.cloud</t>
  </si>
  <si>
    <t>4cvgajj6p6ji</t>
  </si>
  <si>
    <t>Kripal Singh</t>
  </si>
  <si>
    <t>kripal.singh@intuitive.cloud</t>
  </si>
  <si>
    <t>Vidushi Tyagi</t>
  </si>
  <si>
    <t>vidushi.tyagi@intuitive.ai</t>
  </si>
  <si>
    <t>Simardeep Singh</t>
  </si>
  <si>
    <t>simardeep.singh@intuitive.cloud</t>
  </si>
  <si>
    <t>tony.boppuri@intuitive.ai</t>
  </si>
  <si>
    <t>Jayaprakash Mariyappan</t>
  </si>
  <si>
    <t>jayaprakash.mariyappan@intuitive.cloud</t>
  </si>
  <si>
    <t>Honey Agarwal</t>
  </si>
  <si>
    <t>Aniket Purohit</t>
  </si>
  <si>
    <t>aniket.purohit@intuitive.cloud</t>
  </si>
  <si>
    <t>fxewzd4784jk</t>
  </si>
  <si>
    <t>Lucian Cimpeanu</t>
  </si>
  <si>
    <t>lucian.cimpeanu@intuitive.ai</t>
  </si>
  <si>
    <t xml:space="preserve">MohammedAyub </t>
  </si>
  <si>
    <t>mohammed.ayub@intuitive.ai</t>
  </si>
  <si>
    <t>872wfkemw8ou</t>
  </si>
  <si>
    <t>Bhoomika Dharmani</t>
  </si>
  <si>
    <t>bhoomika.dharmani@intuitive.cloud</t>
  </si>
  <si>
    <t>Anmol Purohit</t>
  </si>
  <si>
    <t>anmol.purohit@intuitive.ai</t>
  </si>
  <si>
    <t>Zayeed Chowdhury</t>
  </si>
  <si>
    <t>zayeed.chowdhury@intuitive.ai</t>
  </si>
  <si>
    <t>Vyas Sarang.</t>
  </si>
  <si>
    <t>vyas.sarangpani@intuitive.ai</t>
  </si>
  <si>
    <t>Mufaddal Suratwala</t>
  </si>
  <si>
    <t>mufaddal.suratwala@intuitive.ai</t>
  </si>
  <si>
    <t>ifpowwd9hrug</t>
  </si>
  <si>
    <t>Tanmay Tiwari</t>
  </si>
  <si>
    <t>tanmay.tiwari@intuitive.ai</t>
  </si>
  <si>
    <t xml:space="preserve"> cgqb6vtazcdz</t>
  </si>
  <si>
    <t>Praveenkumar Dasari</t>
  </si>
  <si>
    <t>praveenkumar.dasari@intuitive.cloud</t>
  </si>
  <si>
    <t>5qnxavxanwse</t>
  </si>
  <si>
    <t>Nirav Jadav</t>
  </si>
  <si>
    <t>nirav.jadav@intuitive.cloud</t>
  </si>
  <si>
    <t>Mohammed Shabbir</t>
  </si>
  <si>
    <t>mohammed.shabbir@intuitive.ai</t>
  </si>
  <si>
    <t>Netal Agrawal</t>
  </si>
  <si>
    <t>netal.agrawal@intuitive.ai</t>
  </si>
  <si>
    <t>17/06/2026</t>
  </si>
  <si>
    <t>Akshya Iyer</t>
  </si>
  <si>
    <t>akshya.iyer@intuitive.ai</t>
  </si>
  <si>
    <t>Chintan Patel</t>
  </si>
  <si>
    <t>chintan.patel@intuitive.ai</t>
  </si>
  <si>
    <t>Pritam Dodeja</t>
  </si>
  <si>
    <t>h8xt3ms4j7aa</t>
  </si>
  <si>
    <t>Prem Gandhi</t>
  </si>
  <si>
    <t>prem.gandhi@intuitive.ai</t>
  </si>
  <si>
    <t>Durga Prasad</t>
  </si>
  <si>
    <t>durga.prasad@intuitive.ai</t>
  </si>
  <si>
    <t>mxz7fd5joeo6</t>
  </si>
  <si>
    <t xml:space="preserve">Ismail Raja </t>
  </si>
  <si>
    <t>ismail.taher@intuitive.cloud</t>
  </si>
  <si>
    <t>vrhb4mm2kv2v</t>
  </si>
  <si>
    <t>Akshay Kumar Agarwal</t>
  </si>
  <si>
    <t>akshay.agarwal@intuitive.ai</t>
  </si>
  <si>
    <t>kzgctvfghfg4</t>
  </si>
  <si>
    <t>Shubham Baranwal</t>
  </si>
  <si>
    <t>shubham.baranwal@intuitive.ai</t>
  </si>
  <si>
    <t>Abdul Ghani</t>
  </si>
  <si>
    <t>Ahmad Bokairat</t>
  </si>
  <si>
    <t>ahmad.bokairat@intuitive.cloud</t>
  </si>
  <si>
    <t>Jamie Cooke</t>
  </si>
  <si>
    <t>jamie.cooke@intuitive.ai</t>
  </si>
  <si>
    <t>barath.arivazhagan@intuitive.ai</t>
  </si>
  <si>
    <t>Satya Prakash Deep</t>
  </si>
  <si>
    <t>satya.prakash@intuitive.ai</t>
  </si>
  <si>
    <t>dnzkw6mhnyqg</t>
  </si>
  <si>
    <t>Shabhana Mohammed</t>
  </si>
  <si>
    <t>shabhana.mohammed@intuitive.ai</t>
  </si>
  <si>
    <t>vishal.kanade@intuitive.cloud</t>
  </si>
  <si>
    <t>jo3hzueyydwz</t>
  </si>
  <si>
    <t>Ramganesh S</t>
  </si>
  <si>
    <t>ramganesh.subramanian@intuitive.cloud</t>
  </si>
  <si>
    <t>Raghavendra Hegde</t>
  </si>
  <si>
    <t>raghavendra.hegde@intuitive.ai</t>
  </si>
  <si>
    <t>Farhan Ahemad</t>
  </si>
  <si>
    <t>farhan.ahemad@intuitive.ai</t>
  </si>
  <si>
    <t>b9vm6n28ugka</t>
  </si>
  <si>
    <t>Jason Jafari</t>
  </si>
  <si>
    <t>jason.jafari@intuitive.ai</t>
  </si>
  <si>
    <t>Usamah Shafi</t>
  </si>
  <si>
    <t>usamah.shafi@intuitive.cloud</t>
  </si>
  <si>
    <t>pfkom3aivp9c</t>
  </si>
  <si>
    <t>Aditya Manral</t>
  </si>
  <si>
    <t>aditya.manral@intuitive.ai</t>
  </si>
  <si>
    <t>8fywwrmtu8ek</t>
  </si>
  <si>
    <t>Hetul Patel</t>
  </si>
  <si>
    <t>hetul.patel@intuitive.ai</t>
  </si>
  <si>
    <t>Sansriti Ishwar</t>
  </si>
  <si>
    <t>sansriti.ishwar@intuitive.ai</t>
  </si>
  <si>
    <t>Anil Amara</t>
  </si>
  <si>
    <t>anil.amara@intuitive.ai</t>
  </si>
  <si>
    <t>Mohammad Sajid</t>
  </si>
  <si>
    <t>mohammad.sajid@intuitive.ai</t>
  </si>
  <si>
    <t>Sulemaan Mohammed</t>
  </si>
  <si>
    <t>sulemaan.mohammed@intuitive.ai</t>
  </si>
  <si>
    <t>Venkata Edara</t>
  </si>
  <si>
    <t>sivapriya.jeganathan@intuitive.ai</t>
  </si>
  <si>
    <t>Sachin Badapure</t>
  </si>
  <si>
    <t>sachin.badapure@intuitive.cloud</t>
  </si>
  <si>
    <t>Ankur Gupta</t>
  </si>
  <si>
    <t>ankur.gupta@intuitive.ai</t>
  </si>
  <si>
    <t>Sarfaraz Makandar</t>
  </si>
  <si>
    <t>sarfaraz.makandar@intuitive.cloud</t>
  </si>
  <si>
    <t>DataOps/DBRE</t>
  </si>
  <si>
    <t>Rikan Sahoo</t>
  </si>
  <si>
    <t>rikan.sahoo@intuitive.cloud</t>
  </si>
  <si>
    <t>Rajesh Srinivasan</t>
  </si>
  <si>
    <t>rajesh.srinivasan@intuitive.ai</t>
  </si>
  <si>
    <t>Khyati Sharma</t>
  </si>
  <si>
    <t>khyati.sharma@intuitive.ai</t>
  </si>
  <si>
    <t>Abdul Hameed</t>
  </si>
  <si>
    <t>abdul.hameed@intuitive.ai</t>
  </si>
  <si>
    <t>Rishi Kardani</t>
  </si>
  <si>
    <t>rushi.kardani@intuitive.ai</t>
  </si>
  <si>
    <t>Erumalu Bhaskar</t>
  </si>
  <si>
    <t>erumalu.bhaskar@intuitive.ai</t>
  </si>
  <si>
    <t>Sivapriya Jeganathan</t>
  </si>
  <si>
    <t xml:space="preserve">Naga Kiran </t>
  </si>
  <si>
    <t>naga.kiran@intuitive.cloud</t>
  </si>
  <si>
    <t>mahendra.bhandari@intuitive.ai</t>
  </si>
  <si>
    <t>Smit Gandhi</t>
  </si>
  <si>
    <t>smit.gandhi@intuitive.ai</t>
  </si>
  <si>
    <t>Deep Purohit</t>
  </si>
  <si>
    <t>vpztvb39omm5</t>
  </si>
  <si>
    <t>Sachit Desai</t>
  </si>
  <si>
    <t>sachit.desai@intuitive.ai</t>
  </si>
  <si>
    <t>7s5tpcr49qci</t>
  </si>
  <si>
    <t>Amshumanth Sirga</t>
  </si>
  <si>
    <t>amshumanth.sirga@intuitive.ai</t>
  </si>
  <si>
    <t>Sean Denton</t>
  </si>
  <si>
    <t>Amaranath Nagappa</t>
  </si>
  <si>
    <t>amaranath.nagappa@intuitive.cloud</t>
  </si>
  <si>
    <t>o75f7bequ7e3</t>
  </si>
  <si>
    <t>Bhaswar Banerjee</t>
  </si>
  <si>
    <t>bhaswar.banerjee@intuitive.ai</t>
  </si>
  <si>
    <t>5gqagy5b6fr3</t>
  </si>
  <si>
    <t xml:space="preserve">Manan Goradiya </t>
  </si>
  <si>
    <t>manan.goradiya@intuitive.ai</t>
  </si>
  <si>
    <t>2cva8crs8nza</t>
  </si>
  <si>
    <t xml:space="preserve">Gaurav Gangwar </t>
  </si>
  <si>
    <t>gaurav.gangwar@intuitive.cloud</t>
  </si>
  <si>
    <t>ijdpjibe3s43</t>
  </si>
  <si>
    <t>Hemant Rawat</t>
  </si>
  <si>
    <t>hemant.rawat@intuitive.ai</t>
  </si>
  <si>
    <t>Mahender Bhandari</t>
  </si>
  <si>
    <t>xtogg8boqbkm</t>
  </si>
  <si>
    <t>Shaily Shah</t>
  </si>
  <si>
    <t>shaily.shah@intuitive.cloud</t>
  </si>
  <si>
    <t>q6ojqkr9ac54</t>
  </si>
  <si>
    <t>Sahal Pathan</t>
  </si>
  <si>
    <t>sahal.pathan@intuitive.ai</t>
  </si>
  <si>
    <t>xoss9z6tqasm</t>
  </si>
  <si>
    <t>Jenish Kotecha</t>
  </si>
  <si>
    <t>jenish.kotecha@intuitive.ai</t>
  </si>
  <si>
    <t>hmo8hjju5vax</t>
  </si>
  <si>
    <t>Dhruv Maradiya</t>
  </si>
  <si>
    <t>dhruv.maradiya@intuitive.ai</t>
  </si>
  <si>
    <t>zpceccyt8fne</t>
  </si>
  <si>
    <t>Ajay Giri</t>
  </si>
  <si>
    <t>ajay.giri@intuitive.cloud</t>
  </si>
  <si>
    <t>ngyr6knifshn</t>
  </si>
  <si>
    <t>Rohit walia</t>
  </si>
  <si>
    <t>rohit.walia@intuitive.cloud</t>
  </si>
  <si>
    <t>tdnmbdhfnw3d</t>
  </si>
  <si>
    <t>Mohammed Abdul Muqtadir</t>
  </si>
  <si>
    <t>mohammed.muqtadir@intuitive.cloud</t>
  </si>
  <si>
    <t>Abdul Haleem Mohammed</t>
  </si>
  <si>
    <t>abdul.haleem@intuitive.ai</t>
  </si>
  <si>
    <t>Jay Shah</t>
  </si>
  <si>
    <t>jay.shah@intuitive.cloud</t>
  </si>
  <si>
    <t>Saksham Baru</t>
  </si>
  <si>
    <t>rci2b7vduuyn</t>
  </si>
  <si>
    <t>Shobhana Iyer</t>
  </si>
  <si>
    <t>shobhana.iyer@intuitive.ai</t>
  </si>
  <si>
    <t>Syed Adnan Ali</t>
  </si>
  <si>
    <t>syed.adnan@intuitive.ai</t>
  </si>
  <si>
    <t>Shailendra Jha</t>
  </si>
  <si>
    <t xml:space="preserve"> ta76yayqtssa</t>
  </si>
  <si>
    <t>Mohammed Ali Syed</t>
  </si>
  <si>
    <t>mohammed.ali@intuitive.cloud</t>
  </si>
  <si>
    <t>o89dg8ju29yz</t>
  </si>
  <si>
    <t>Vasu Bhimani</t>
  </si>
  <si>
    <t>vasu.bhimani@intuitive.ai</t>
  </si>
  <si>
    <t>kmsky2r8twrh</t>
  </si>
  <si>
    <t>Het Shah</t>
  </si>
  <si>
    <t>het.shah@intuitive.ai</t>
  </si>
  <si>
    <t>vtmo6rxxbmc8</t>
  </si>
  <si>
    <t>Rohan Kumbhare</t>
  </si>
  <si>
    <t>rohan.kumbhare@intuitive.cloud</t>
  </si>
  <si>
    <t>fegw8ge7thc4</t>
  </si>
  <si>
    <t>Venkateshbabu Premnath</t>
  </si>
  <si>
    <t>venkateshbabu.premnath@intuitive.ai</t>
  </si>
  <si>
    <t>Darshan Rajyaguru</t>
  </si>
  <si>
    <t>darshan.rajyaguru@intuitive.ai</t>
  </si>
  <si>
    <t>56q4xyw2ua45</t>
  </si>
  <si>
    <t>Qing Vincent Yin</t>
  </si>
  <si>
    <t>vincent.yin@intuitive.cloud</t>
  </si>
  <si>
    <t>Cloud &amp; Platform Engineering</t>
  </si>
  <si>
    <t>b2rjj83ka8qz</t>
  </si>
  <si>
    <t xml:space="preserve"> Vipin Yadav</t>
  </si>
  <si>
    <t>vipin.yadav@intuitive.ai</t>
  </si>
  <si>
    <t>CMS</t>
  </si>
  <si>
    <t>jejca2u5as8y</t>
  </si>
  <si>
    <t>bhavesh.shah@intuitive.ai</t>
  </si>
  <si>
    <t xml:space="preserve">Honey Agarwal </t>
  </si>
  <si>
    <t>honey.agarwal@intuitive.ai</t>
  </si>
  <si>
    <t>dm3xeric4m2n</t>
  </si>
  <si>
    <t>Anoosha Kanungo</t>
  </si>
  <si>
    <t>anoosha.kanungo@intuitive.cloud</t>
  </si>
  <si>
    <t>55493d9a-45ec-4c5e-b66b-886be2f1b19e.</t>
  </si>
  <si>
    <t>Mansi Solanki</t>
  </si>
  <si>
    <t>mansi.solanki@intuitive.ai</t>
  </si>
  <si>
    <t>Mohammed Yassin Sheikh Ali</t>
  </si>
  <si>
    <t>NetSec</t>
  </si>
  <si>
    <t>Veerraju Gopalli</t>
  </si>
  <si>
    <t>veerraju.gopalli@intuitive.cloud</t>
  </si>
  <si>
    <t>NetSec + SDX</t>
  </si>
  <si>
    <t>Tanvi Sontakke</t>
  </si>
  <si>
    <t>tanvi.sontakke@intuitive.ai</t>
  </si>
  <si>
    <t>Milind Dhake</t>
  </si>
  <si>
    <t>milind.dhake@intuitive.cloud</t>
  </si>
  <si>
    <t>deep.purohit@intuitive.ai</t>
  </si>
  <si>
    <t>Jitendra Rautela</t>
  </si>
  <si>
    <t>jitendra.rautela@intuitive.ai</t>
  </si>
  <si>
    <t>NetSec+SDX</t>
  </si>
  <si>
    <t>Vikas Yadandla</t>
  </si>
  <si>
    <t>vikas.yadandla@intuitive.ai</t>
  </si>
  <si>
    <t>Raj Srivastava</t>
  </si>
  <si>
    <t>4111b41f-74b0-4e59-9ee1-2874c8dbbd5b</t>
  </si>
  <si>
    <t>Amrith Samuel</t>
  </si>
  <si>
    <t>amrith.samuel@intuitive.ai</t>
  </si>
  <si>
    <t>RICHA SHUKLA</t>
  </si>
  <si>
    <t>richa.shukla@intuitive.ai</t>
  </si>
  <si>
    <t>Anand Akurathi</t>
  </si>
  <si>
    <t>Ajit Punchhi</t>
  </si>
  <si>
    <t>ajit.punchhi@intuitive.ai</t>
  </si>
  <si>
    <t>Bhagesh Puri</t>
  </si>
  <si>
    <t>bhagesh.puri@intuitive.ai</t>
  </si>
  <si>
    <t>Tisha Patel</t>
  </si>
  <si>
    <t>tisha.patel@intuitive.ai</t>
  </si>
  <si>
    <t>Dev Padaliya</t>
  </si>
  <si>
    <t>dev.padaliya@intuitive.ai</t>
  </si>
  <si>
    <t>Sajid Ali</t>
  </si>
  <si>
    <t>7813258b-3e8d-47a6-b909-fede75233f42</t>
  </si>
  <si>
    <t>Jigarkumar Bhoye</t>
  </si>
  <si>
    <t>jigarkumar.bhoye@intuitive.ai</t>
  </si>
  <si>
    <t>07030195-9608-4243-95ba-ecd0a60ec581</t>
  </si>
  <si>
    <t>Under review by Anthropic Support for Incident #215347</t>
  </si>
  <si>
    <t>anand.akurathi@intuitive.ai</t>
  </si>
  <si>
    <t>Vamshi Krishna Raj</t>
  </si>
  <si>
    <t>vamshikrishna.raj@intuitive.ai</t>
  </si>
  <si>
    <t>Vivek mohan</t>
  </si>
  <si>
    <t>vivek.mohan@intuitive.ai</t>
  </si>
  <si>
    <t>Clifford Bressette</t>
  </si>
  <si>
    <t>clifford.bressette@intuitive.cloud</t>
  </si>
  <si>
    <t>kiran.kumar@intuitive.ai</t>
  </si>
  <si>
    <t>Zaid Siddiqui</t>
  </si>
  <si>
    <t>zaid.siddiqui@intuitive.cloud</t>
  </si>
  <si>
    <t>Poojan Soni</t>
  </si>
  <si>
    <t>poojan.soni@intuitive.ai</t>
  </si>
  <si>
    <t>Hiren Siddhpura</t>
  </si>
  <si>
    <t>hiren.siddhpura@intuitive.cloud</t>
  </si>
  <si>
    <t>Garret Fernandez</t>
  </si>
  <si>
    <t>garret.fernandez@intuitive.ai</t>
  </si>
  <si>
    <t>bc2b46ab-a9e7-4c2a-a342-3f4ab39e3cd5</t>
  </si>
  <si>
    <t>Harsh Kharwar</t>
  </si>
  <si>
    <t>harsh.kharwar@intuitive.ai</t>
  </si>
  <si>
    <t>Anurag Kapatia</t>
  </si>
  <si>
    <t>anurag.kapatia@intuitive.cloud</t>
  </si>
  <si>
    <t>Amit Singh</t>
  </si>
  <si>
    <t>Amit.Singh@Intuitive.AI</t>
  </si>
  <si>
    <t>Yash Jain</t>
  </si>
  <si>
    <t>yash.jain@intuitive.ai</t>
  </si>
  <si>
    <t>Jatin Sharma</t>
  </si>
  <si>
    <t>jatin.sharma@intuitive.ai</t>
  </si>
  <si>
    <t>Ashray Dhar</t>
  </si>
  <si>
    <t>ashray.dhar@intuitive.ai</t>
  </si>
  <si>
    <t>chett Rubenstein</t>
  </si>
  <si>
    <t>Chandraj Maurya</t>
  </si>
  <si>
    <t>chandraj.maurya@intuitive.ai</t>
  </si>
  <si>
    <t>Deepak Ahlawat</t>
  </si>
  <si>
    <t>deepak.ahlawat@intuitive.ai</t>
  </si>
  <si>
    <t>Safir Ahamed</t>
  </si>
  <si>
    <t>safir.ahamed@intuitive.ai</t>
  </si>
  <si>
    <t>Abhilash kaundal</t>
  </si>
  <si>
    <t>abhilash.kaundal@intuitive.ai</t>
  </si>
  <si>
    <t>Rathin Bhardwaj</t>
  </si>
  <si>
    <t>rathin.bhardwaj@intuitive.ai</t>
  </si>
  <si>
    <t>Vineet Nair</t>
  </si>
  <si>
    <t>vineet.nair@intuitive.cloud</t>
  </si>
  <si>
    <t>Abilash Sivakumar</t>
  </si>
  <si>
    <t>Malhar Prajapati</t>
  </si>
  <si>
    <t>malhar.prajapati@intuitive.ai</t>
  </si>
  <si>
    <t>cff8c789-8df8-46fa-b5b7-9e1644217ce0</t>
  </si>
  <si>
    <t>pravin bhande</t>
  </si>
  <si>
    <t>pravin.bhande@intuitive.cloud</t>
  </si>
  <si>
    <t>sriram Mani</t>
  </si>
  <si>
    <t>cloud &amp; Platform Engineering</t>
  </si>
  <si>
    <t>Vishal Mehta</t>
  </si>
  <si>
    <t>vishal.mehta@intuitive.ai</t>
  </si>
  <si>
    <t>Lucky La Torre</t>
  </si>
  <si>
    <t>lucky.torre@intuitive.ai</t>
  </si>
  <si>
    <t>Suyash Srivastava</t>
  </si>
  <si>
    <t>suyash.srivastava@intuitive.ai</t>
  </si>
  <si>
    <t>Dr Rakesh R PhD</t>
  </si>
  <si>
    <t>rakesh.r@intuitive.cloud</t>
  </si>
  <si>
    <t>data + AI</t>
  </si>
  <si>
    <t>deepak.ahlawat@intuitive.cloud</t>
  </si>
  <si>
    <t>Syed Mustafa Hasan</t>
  </si>
  <si>
    <t>mustafa.hasan@intuitive.cloud</t>
  </si>
  <si>
    <t>696cca81-9ea2-4d8c-935b-37b9183946fd</t>
  </si>
  <si>
    <t>Shriram Narendra Sabade</t>
  </si>
  <si>
    <t>shriram.sabade@intuitive.ai</t>
  </si>
  <si>
    <t>Hemanth Reddy</t>
  </si>
  <si>
    <t>hemanth.reddy@intuitive.ai</t>
  </si>
  <si>
    <t xml:space="preserve">c27e47af-4a8b-47be-8e24-8396ef9ce0da </t>
  </si>
  <si>
    <t>Ajitesh Sudan</t>
  </si>
  <si>
    <t>ajitesh.sudan@intuitive.cloud</t>
  </si>
  <si>
    <t>869518ad-d3ca-48c0-aa74-e722d423cce7</t>
  </si>
  <si>
    <t>Nishita Ardeshna</t>
  </si>
  <si>
    <t>nishita.ardeshna@intuitive.ai</t>
  </si>
  <si>
    <t>Aryan Vasudev</t>
  </si>
  <si>
    <t>aryan.vasudev@intuitive.ai</t>
  </si>
  <si>
    <t>f9b920d6-8df4-41ac-ab53-e0703e5556fb</t>
  </si>
  <si>
    <t>Kumod Thakre</t>
  </si>
  <si>
    <t>kumod.thakre@intuitive.cloud</t>
  </si>
  <si>
    <t>783b803a-14b1-44ef-853d-da8a900f01a4</t>
  </si>
  <si>
    <t>Abhijeet Patil</t>
  </si>
  <si>
    <t>abhijeet.patil@intuitive.ai</t>
  </si>
  <si>
    <t>Ibrahim Maoodhah</t>
  </si>
  <si>
    <t>ibrahim.maoodhah@intuitive.cloud</t>
  </si>
  <si>
    <t>yassinali@intuitive.ai</t>
  </si>
  <si>
    <t>Aditya Desai</t>
  </si>
  <si>
    <t>aditya.desai@intuitive.ai</t>
  </si>
  <si>
    <t>Pundrik Shayta</t>
  </si>
  <si>
    <t>pundrik.shayta@intuitive.ai</t>
  </si>
  <si>
    <t>na99mvicy7c2</t>
  </si>
  <si>
    <t>Thamtam Pruthvi</t>
  </si>
  <si>
    <t>thamtam.pruthvi@intuitive.ai</t>
  </si>
  <si>
    <t>21/05/2026</t>
  </si>
  <si>
    <t>Vraj Modi</t>
  </si>
  <si>
    <t>vraj.modi@intuitive.ai</t>
  </si>
  <si>
    <t>29/06/2026</t>
  </si>
  <si>
    <t>046a7a62-3080-48b8-a35a-d750a43a411b</t>
  </si>
  <si>
    <t>Kenil Sarang</t>
  </si>
  <si>
    <t>kenil.sarang@intuitive.ai</t>
  </si>
  <si>
    <t>Shourya Nahar</t>
  </si>
  <si>
    <t>shourya.nahar@intuitive.ai</t>
  </si>
  <si>
    <t>16/06/2026</t>
  </si>
  <si>
    <t>Mahesh Sutar</t>
  </si>
  <si>
    <t>mahesh.sutar@intuitive.ai</t>
  </si>
  <si>
    <t>18/06/2026</t>
  </si>
  <si>
    <t>23/06/2026</t>
  </si>
  <si>
    <t>PRATIK VIJAY SARODE</t>
  </si>
  <si>
    <t>pratik.sarode@intuitive.cloud</t>
  </si>
  <si>
    <t>13/06/2026</t>
  </si>
  <si>
    <t>nitin.sharma@intuitive.ai</t>
  </si>
  <si>
    <t>Vishnu Burkhawala</t>
  </si>
  <si>
    <t>vishnu.burkhawala@intuitive.ai</t>
  </si>
  <si>
    <t>29/062026</t>
  </si>
  <si>
    <t>8d92817d-b84c-4d38-bc6c-dd2f865e3313</t>
  </si>
  <si>
    <t>Sumit Mishra</t>
  </si>
  <si>
    <t>sumit.mishra@intuitive.ai</t>
  </si>
  <si>
    <t>982ef9b0-78ba-4722-8e38-55c08f229b09</t>
  </si>
  <si>
    <t>Girish Venkata Reddy</t>
  </si>
  <si>
    <t>girish.venkatareddy@intuitive.ai</t>
  </si>
  <si>
    <t>28/06/2026</t>
  </si>
  <si>
    <t>Shreya Joshi </t>
  </si>
  <si>
    <t>shreya.joshi@intuitive.ai</t>
  </si>
  <si>
    <t>8726cce3-74c2-4a47-b490-7f2286837bba</t>
  </si>
  <si>
    <t xml:space="preserve">Sohail khan </t>
  </si>
  <si>
    <t>sohail.khan@intuitive.cloud</t>
  </si>
  <si>
    <t>25/05/2026</t>
  </si>
  <si>
    <t>88fq38656i3g</t>
  </si>
  <si>
    <t>Amit Kumar</t>
  </si>
  <si>
    <t>amit.kumar@intuitive.cloud</t>
  </si>
  <si>
    <t>22/05/2026</t>
  </si>
  <si>
    <t>Deepak N P</t>
  </si>
  <si>
    <t>deepak.np@intuitive.ai</t>
  </si>
  <si>
    <t> Pratyusha Kongara</t>
  </si>
  <si>
    <t>pratyusha.kongara@intuitive.cloud</t>
  </si>
  <si>
    <t>shailendra.jha@intuitive.ai</t>
  </si>
  <si>
    <t>murtaza.vajihee@intuitive.ai</t>
  </si>
  <si>
    <t>Arvind Raj</t>
  </si>
  <si>
    <t>arvind.raj@intuitive.ai</t>
  </si>
  <si>
    <t>Tony Villiams Boppuri</t>
  </si>
  <si>
    <t>tony.boppuri@intuitive.cloud</t>
  </si>
  <si>
    <t>22/06/2026</t>
  </si>
  <si>
    <t>Akshaykumar Patil</t>
  </si>
  <si>
    <t>akshaykumar.patil@intuitive.cloud</t>
  </si>
  <si>
    <t>ANTH239559</t>
  </si>
  <si>
    <t>Santosh Patkar</t>
  </si>
  <si>
    <t>santosh.patkar@intuitive.cloud</t>
  </si>
  <si>
    <t>Darshan Bhavsar</t>
  </si>
  <si>
    <t>darshan.bhavsar@intuitive.ai</t>
  </si>
  <si>
    <t>20/06/2026</t>
  </si>
  <si>
    <t>Kalyani Rajawat</t>
  </si>
  <si>
    <t>kalyani.rajawat@intuitive.cloud</t>
  </si>
  <si>
    <t>Chandrashekar Vankayalapati</t>
  </si>
  <si>
    <t>chandrashekar.vankayalapati@intuitive.ai</t>
  </si>
  <si>
    <t>Divya Mahesh</t>
  </si>
  <si>
    <t>divya.mahesh@intuitive.cloud</t>
  </si>
  <si>
    <t>29/05/2026</t>
  </si>
  <si>
    <t>Tushar Kaushik</t>
  </si>
  <si>
    <t>tushar.kaushik@intuitive.ai</t>
  </si>
  <si>
    <t>31/05/2026</t>
  </si>
  <si>
    <t>Rohit Chadha</t>
  </si>
  <si>
    <t>rohit.chadha@intuitive.cloud</t>
  </si>
  <si>
    <t>Sanjay Gunwal</t>
  </si>
  <si>
    <t>sanjay.gunwal@intuitive.ai</t>
  </si>
  <si>
    <t>14/06/2026</t>
  </si>
  <si>
    <t>Rahul Yadav</t>
  </si>
  <si>
    <t>rahul.yadav@intuitive.cloud</t>
  </si>
  <si>
    <t>25/04/2026</t>
  </si>
  <si>
    <t>deepak.shekhar@intuitive.ai</t>
  </si>
  <si>
    <t>Vishal</t>
  </si>
  <si>
    <t>Vishal.B@Intuitive.ai</t>
  </si>
  <si>
    <t>19/06/2026</t>
  </si>
  <si>
    <t>Ankit Mukherjee</t>
  </si>
  <si>
    <t>ankit.mukherjee@intuitive.ai</t>
  </si>
  <si>
    <t>joei49sqc8gx</t>
  </si>
  <si>
    <t>Rahul Morabiya</t>
  </si>
  <si>
    <t>rahul.morabiya@intuitive.ai</t>
  </si>
  <si>
    <t>Suresh Kumar Mushan</t>
  </si>
  <si>
    <t>suresh.mushan@intuitive.cloud</t>
  </si>
  <si>
    <t>Binayak Mishra</t>
  </si>
  <si>
    <t>binayak.mishra@intuitive.ai</t>
  </si>
  <si>
    <t>Janhvi Kurkure</t>
  </si>
  <si>
    <t>janhvi.kurkure@intuitive.ai</t>
  </si>
  <si>
    <t>18/05/2026</t>
  </si>
  <si>
    <t>30/06/2026</t>
  </si>
  <si>
    <t>Anand Kumar Akurathi</t>
  </si>
  <si>
    <t>anand.akurathi@intuitive.cloud</t>
  </si>
  <si>
    <t>15/06/2026</t>
  </si>
  <si>
    <t>Henry Ruelan</t>
  </si>
  <si>
    <t>henry.ruelan@intuitive.cloud</t>
  </si>
  <si>
    <t>15/05/2026</t>
  </si>
  <si>
    <t>bharath.babbur@intuitive.ai</t>
  </si>
  <si>
    <t>Imad Ahmed</t>
  </si>
  <si>
    <t>imad.ahmed@intuitive.ai</t>
  </si>
  <si>
    <t>Pearl Jotania</t>
  </si>
  <si>
    <t>pearl.jotania@intuitive.ai</t>
  </si>
  <si>
    <t>13/06/2023</t>
  </si>
  <si>
    <t>Aditya Shukla</t>
  </si>
  <si>
    <t>aditya.shukla@intuitive.cloud</t>
  </si>
  <si>
    <t>Ravikant Jaiswar</t>
  </si>
  <si>
    <t>ravikant.jaiswar@intuitive.cloud</t>
  </si>
  <si>
    <t>S Yaswardhan Reddy</t>
  </si>
  <si>
    <t>yaswardhan.reddy@intuitive.cloud</t>
  </si>
  <si>
    <t>30/05/2026</t>
  </si>
  <si>
    <t>Vadodaria Parth Mayankbhai</t>
  </si>
  <si>
    <t>parth.vadodaria@intuitive.ai</t>
  </si>
  <si>
    <t>Abdul Basith</t>
  </si>
  <si>
    <t>abdul.basith@intuitive.ai</t>
  </si>
  <si>
    <t>umamaheswari.challa@intuitive.ai</t>
  </si>
  <si>
    <t>Chocha Darshil</t>
  </si>
  <si>
    <t>darshil.chocha@intuitive.ai</t>
  </si>
  <si>
    <t>Sandeep Singh</t>
  </si>
  <si>
    <t>sandeep.singh@intuitive.ai</t>
  </si>
  <si>
    <t>20/05/2026</t>
  </si>
  <si>
    <t>27/06/2026</t>
  </si>
  <si>
    <t>Prachi Desai</t>
  </si>
  <si>
    <t>prachi.desai@intuitive.ai</t>
  </si>
  <si>
    <t>Dr Reza Mehrizi</t>
  </si>
  <si>
    <t>21/06/2026</t>
  </si>
  <si>
    <t>0f6546aa-34b4-41e4-991d-d855c87713da</t>
  </si>
  <si>
    <t xml:space="preserve"> Arnav Bansal</t>
  </si>
  <si>
    <t>arnav.bansal@intuitive.ai</t>
  </si>
  <si>
    <t>Cybersec + SDx</t>
  </si>
  <si>
    <t>Leen Assaf</t>
  </si>
  <si>
    <t>leen.assaf@intuitive.ai</t>
  </si>
  <si>
    <t>Adesh Abhang</t>
  </si>
  <si>
    <t>adesh.abhang@intuitive.ai</t>
  </si>
  <si>
    <t>Sandesh Lavti </t>
  </si>
  <si>
    <t>sandesh.lavti@intuitive.ai</t>
  </si>
  <si>
    <t>24/06/2026</t>
  </si>
  <si>
    <t>Parikh Het</t>
  </si>
  <si>
    <t>het.parikh@intuitive.ai</t>
  </si>
  <si>
    <t>Scott Kriebel</t>
  </si>
  <si>
    <t>scott.kriebel@intuitive.ai</t>
  </si>
  <si>
    <t>Dhruvi Soni</t>
  </si>
  <si>
    <t>dhruvi.soni@intuitive.ai</t>
  </si>
  <si>
    <t>ivdqedzp8xmf</t>
  </si>
  <si>
    <t>Satvik Sharma</t>
  </si>
  <si>
    <t>satvik.sharma@intuitive.ai</t>
  </si>
  <si>
    <t>319408b7-e02e-4be2-9610-aa9fd4277497</t>
  </si>
  <si>
    <t>Kumar Ankur</t>
  </si>
  <si>
    <t>kumar.ankur@intuitive.ai</t>
  </si>
  <si>
    <t>29614b59-8a30-456f-ac35-362a1df34184</t>
  </si>
  <si>
    <t>Syed Mohammad Ayan Abbas</t>
  </si>
  <si>
    <t>ayan.abbas@intuitive.ai</t>
  </si>
  <si>
    <t>5a079e51-f301-4428-b4d2-1c1e6ba069ba</t>
  </si>
  <si>
    <t>Darshan Kanade</t>
  </si>
  <si>
    <t>darshan.kanade@intuitive.ai</t>
  </si>
  <si>
    <t xml:space="preserve">d5397251-c47a-4fbb-92f6-03da0089e07b  </t>
  </si>
  <si>
    <t>Mahesh Navnath Pawar</t>
  </si>
  <si>
    <t>mahesh.pawar@intuitive.ai</t>
  </si>
  <si>
    <t>Manvi Sonker</t>
  </si>
  <si>
    <t>manvi.sonker@intuitive.ai</t>
  </si>
  <si>
    <t>Jayesh Purohit</t>
  </si>
  <si>
    <t>Bhumi Patel</t>
  </si>
  <si>
    <t>bhumi.patel@intuitive.ai</t>
  </si>
  <si>
    <t>26/06/2026</t>
  </si>
  <si>
    <t>Sukhpreet Singh</t>
  </si>
  <si>
    <t>sukhpreet.singh@intuitive.cloud</t>
  </si>
  <si>
    <t>Harshil Khamar</t>
  </si>
  <si>
    <t>harshil.khamar@intuitive.cloud</t>
  </si>
  <si>
    <t>25/06/2026</t>
  </si>
  <si>
    <t>Nauman Chaudhary </t>
  </si>
  <si>
    <t>nauman.chaudhary@intuitive.ai</t>
  </si>
  <si>
    <t>Mike shilling</t>
  </si>
  <si>
    <t>Nirmal Trivedi</t>
  </si>
  <si>
    <t>nirmal.trivedi@intuitive.ai</t>
  </si>
  <si>
    <t>Aryan Nair</t>
  </si>
  <si>
    <t>aryan.nair@intuitive.cloud</t>
  </si>
  <si>
    <t>Srushti Moghe</t>
  </si>
  <si>
    <t>srushti.moghe@intuitive.ai</t>
  </si>
  <si>
    <t>Chirag Pahuja</t>
  </si>
  <si>
    <t>chirag.pahuja@intuitive.ai</t>
  </si>
  <si>
    <t>Suraj Mulchandani</t>
  </si>
  <si>
    <t>suraj.mulchandani@intuitive.cloud</t>
  </si>
  <si>
    <t>Pratham Kakkad</t>
  </si>
  <si>
    <t>pratham.kakkad@intuitive.ai</t>
  </si>
  <si>
    <t>Aditya Shah</t>
  </si>
  <si>
    <t>aditya.shah@intuitive.cloud</t>
  </si>
  <si>
    <t>Abhijeet Kulkarni </t>
  </si>
  <si>
    <t>abhijeet.kulkarni@intuitive.cloud</t>
  </si>
  <si>
    <t>c0c5809e-50b8-4da9-9285-168ef00ed32c</t>
  </si>
  <si>
    <t>Rushi Kardani </t>
  </si>
  <si>
    <t>7b6e83bb-5cab-4e84-ac41-d6a8128c6847</t>
  </si>
  <si>
    <t>Darshan Shah</t>
  </si>
  <si>
    <t>darshan.shah@intuitive.ai</t>
  </si>
  <si>
    <t>fab1e1cb-ffb6-403d-92c3-8322e2168885</t>
  </si>
  <si>
    <t>Chaitanya Baweja</t>
  </si>
  <si>
    <t>chaitanya.baweja@intuitive.ai</t>
  </si>
  <si>
    <t>Aastha Laroiya</t>
  </si>
  <si>
    <t>Karthik Kumar V M</t>
  </si>
  <si>
    <t>karthik.kumar@intuitive.ai</t>
  </si>
  <si>
    <t>3b061351-bd8b-4307-87fc-b08ca14e55ca</t>
  </si>
  <si>
    <t>shailendra.jha@intuitive.cloud</t>
  </si>
  <si>
    <t>Krishil Agrawal</t>
  </si>
  <si>
    <t>Krishil.agrawal@intuitive.ai</t>
  </si>
  <si>
    <t>-</t>
  </si>
  <si>
    <t>Riddhi Warale</t>
  </si>
  <si>
    <t>riddhi.warale@intuitive.ai</t>
  </si>
  <si>
    <t>26b7b61e-9d43-4604-a525-fb5a418d0c3c</t>
  </si>
  <si>
    <t>Sunil Bhagat</t>
  </si>
  <si>
    <t>sunil.bhagat@intuitive.ai</t>
  </si>
  <si>
    <t>Ampil Verma</t>
  </si>
  <si>
    <t>ampil.verma@intuitive.ai</t>
  </si>
  <si>
    <t>Robin Jacob</t>
  </si>
  <si>
    <t>robin.jacob@Intuitive.AI</t>
  </si>
  <si>
    <t>Arya Kayastha</t>
  </si>
  <si>
    <t>arya.kayastha@intuitive.ai</t>
  </si>
  <si>
    <t>Kunj Patel</t>
  </si>
  <si>
    <t>kunj.patel@intuitive.ai</t>
  </si>
  <si>
    <t>f7f48c31-8bed-4b12-b92f-88fe1c69f3ca</t>
  </si>
  <si>
    <t>Prabhat Singh</t>
  </si>
  <si>
    <t>prabhat.singh@intuitive.ai</t>
  </si>
  <si>
    <t>Priyansh Balwani</t>
  </si>
  <si>
    <t>priyansh.balwani@intuitive.ai</t>
  </si>
  <si>
    <t>Yugandar Maddipatla</t>
  </si>
  <si>
    <t>Yugandar.Maddipatla@intuitive.AI</t>
  </si>
  <si>
    <t>Palak Dave</t>
  </si>
  <si>
    <t>palak.dave@intuitive.ai</t>
  </si>
  <si>
    <t>Puja Rachchh</t>
  </si>
  <si>
    <t>puja.rachchh@intuitive.ai</t>
  </si>
  <si>
    <t>Jahnavi Patel</t>
  </si>
  <si>
    <t>jahnavi.patel@intuitive.ai</t>
  </si>
  <si>
    <t>Gourab Banerjee</t>
  </si>
  <si>
    <t>gourab.banerjee@intuitive.ai</t>
  </si>
  <si>
    <t> 28-Jul-2026</t>
  </si>
  <si>
    <t>Manpreet Singh</t>
  </si>
  <si>
    <t>manpreet.singh@intuitive.ai</t>
  </si>
  <si>
    <t>Nancy Vaghela </t>
  </si>
  <si>
    <t>nancy.vaghela@intuitive.ai</t>
  </si>
  <si>
    <t>Saurabh Mishra</t>
  </si>
  <si>
    <t>saurabh.mishra@intuitive.ai</t>
  </si>
  <si>
    <t>Akshay Nisang</t>
  </si>
  <si>
    <t>akshay.nisang@intuitive.ai</t>
  </si>
  <si>
    <t>Akshatha S M</t>
  </si>
  <si>
    <t>akshatha.sm@intuitive.ai</t>
  </si>
  <si>
    <t>Prem Kotadiya</t>
  </si>
  <si>
    <t>prem.kotadiya@intuitive.ai</t>
  </si>
  <si>
    <t>Mansi  Sisangiya</t>
  </si>
  <si>
    <t>mansi.sisangiya@intuitive.ai</t>
  </si>
  <si>
    <t>Hem Modi</t>
  </si>
  <si>
    <t>hem.modi@intuitive.ai</t>
  </si>
  <si>
    <t>Data+AI</t>
  </si>
  <si>
    <t>Jaswinder Singh</t>
  </si>
  <si>
    <t>jaswinder.singh@intuitive.ai</t>
  </si>
  <si>
    <t xml:space="preserve">Mohammed Yassin </t>
  </si>
  <si>
    <t>Not Resolved</t>
  </si>
  <si>
    <t>Credentials Not Received</t>
  </si>
  <si>
    <t>Abdul Haleem</t>
  </si>
  <si>
    <t>Lingaswamy Gaddikopula</t>
  </si>
  <si>
    <t>Resolved</t>
  </si>
  <si>
    <t>Name Issue</t>
  </si>
  <si>
    <t>Ayan Abbas</t>
  </si>
  <si>
    <t>Shubham B</t>
  </si>
  <si>
    <t>Practice Director</t>
  </si>
  <si>
    <t>Waiting for Results</t>
  </si>
  <si>
    <t>AI Team</t>
  </si>
  <si>
    <t>Total</t>
  </si>
  <si>
    <t>Total Resources</t>
  </si>
  <si>
    <t>In Tracker</t>
  </si>
  <si>
    <t>% Coverage</t>
  </si>
  <si>
    <t>Note: Total Resources per the Practice Directors team file shared by Raghavendra Kura.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</si>
</sst>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m/yy"/>
  </numFmts>
  <fonts count="22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0"/>
      <color rgb="FF808080"/>
      <name val="Calibri"/>
      <family val="2"/>
    </font>
    <font>
      <sz val="10"/>
      <color rgb="FF000000"/>
      <name val="Aptos"/>
      <family val="2"/>
    </font>
    <font>
      <sz val="10.5"/>
      <color rgb="FF00619E"/>
      <name val="Helvetica"/>
      <family val="2"/>
      <charset val="1"/>
    </font>
    <font>
      <sz val="12"/>
      <color rgb="FF000000"/>
      <name val="Aptos"/>
      <family val="2"/>
    </font>
    <font>
      <sz val="11"/>
      <color rgb="FF000000"/>
      <name val="Calibri"/>
      <family val="2"/>
      <charset val="1"/>
    </font>
    <font>
      <sz val="12"/>
      <color rgb="FF242424"/>
      <name val="Aptos"/>
      <family val="2"/>
      <charset val="1"/>
    </font>
    <font>
      <sz val="12"/>
      <color theme="1"/>
      <name val="Aptos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0.5"/>
      <color rgb="FF000000"/>
      <name val="Helvetica"/>
    </font>
    <font>
      <sz val="11"/>
      <color rgb="FF000000"/>
      <name val="Segoe UI"/>
      <family val="2"/>
    </font>
    <font>
      <sz val="11"/>
      <color rgb="FF000000"/>
      <name val="Satoshi"/>
      <family val="3"/>
    </font>
    <font>
      <u/>
      <sz val="11"/>
      <color rgb="FF000000"/>
      <name val="Aptos"/>
      <family val="2"/>
    </font>
    <font>
      <sz val="11"/>
      <color rgb="FF000000"/>
      <name val="Aptos"/>
      <family val="2"/>
    </font>
    <font>
      <sz val="9"/>
      <color theme="1"/>
      <name val="Segoe UI"/>
    </font>
    <font>
      <sz val="11"/>
      <color rgb="FF000000"/>
      <name val="Aptos"/>
      <charset val="1"/>
    </font>
    <font>
      <sz val="11"/>
      <color rgb="FF000000"/>
      <name val="Calibri"/>
      <scheme val="minor"/>
    </font>
    <font>
      <sz val="11"/>
      <color rgb="FF0061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12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15" fontId="2" fillId="0" borderId="0" xfId="0" applyNumberFormat="1" applyFont="1" applyAlignment="1">
      <alignment horizontal="center" vertical="center"/>
    </xf>
    <xf numFmtId="15" fontId="10" fillId="0" borderId="0" xfId="0" applyNumberFormat="1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15" fontId="7" fillId="0" borderId="0" xfId="0" applyNumberFormat="1" applyFont="1" applyAlignment="1">
      <alignment horizontal="center" vertical="center"/>
    </xf>
    <xf numFmtId="15" fontId="7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/>
    <xf numFmtId="0" fontId="15" fillId="3" borderId="2" xfId="0" applyFont="1" applyFill="1" applyBorder="1" applyAlignment="1">
      <alignment wrapText="1" readingOrder="1"/>
    </xf>
    <xf numFmtId="0" fontId="17" fillId="3" borderId="3" xfId="0" applyFont="1" applyFill="1" applyBorder="1"/>
    <xf numFmtId="0" fontId="17" fillId="3" borderId="3" xfId="0" applyFont="1" applyFill="1" applyBorder="1" applyAlignment="1">
      <alignment wrapText="1"/>
    </xf>
    <xf numFmtId="0" fontId="0" fillId="3" borderId="0" xfId="0" applyFill="1"/>
    <xf numFmtId="0" fontId="15" fillId="0" borderId="0" xfId="0" applyFont="1"/>
    <xf numFmtId="0" fontId="16" fillId="3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18" fillId="0" borderId="0" xfId="0" applyFont="1"/>
    <xf numFmtId="0" fontId="8" fillId="0" borderId="0" xfId="1" applyFont="1" applyAlignment="1">
      <alignment horizontal="left" vertical="center" wrapText="1"/>
    </xf>
    <xf numFmtId="15" fontId="0" fillId="0" borderId="0" xfId="0" applyNumberFormat="1"/>
    <xf numFmtId="165" fontId="0" fillId="0" borderId="0" xfId="0" applyNumberFormat="1" applyAlignment="1">
      <alignment horizontal="center" vertical="center"/>
    </xf>
    <xf numFmtId="0" fontId="12" fillId="0" borderId="0" xfId="0" applyFont="1" applyAlignment="1">
      <alignment wrapText="1"/>
    </xf>
    <xf numFmtId="0" fontId="12" fillId="0" borderId="0" xfId="0" applyFont="1"/>
    <xf numFmtId="0" fontId="19" fillId="0" borderId="0" xfId="0" applyFont="1"/>
    <xf numFmtId="0" fontId="20" fillId="0" borderId="0" xfId="0" applyFont="1"/>
    <xf numFmtId="0" fontId="21" fillId="4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/>
    </xf>
    <xf numFmtId="0" fontId="2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22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5" formatCode="dd/mmm/yy"/>
      <alignment horizontal="center" vertical="center" textRotation="0" indent="0" justifyLastLine="0" shrinkToFit="0" readingOrder="0"/>
    </dxf>
    <dxf>
      <numFmt numFmtId="165" formatCode="dd/mmm/yy"/>
      <alignment horizontal="center" vertical="center" textRotation="0" indent="0" justifyLastLine="0" shrinkToFit="0" readingOrder="0"/>
    </dxf>
    <dxf>
      <font>
        <color auto="1"/>
      </font>
      <alignment horizontal="general" vertical="center" textRotation="0" wrapText="1" indent="0" justifyLastLine="0" shrinkToFit="0" readingOrder="0"/>
    </dxf>
    <dxf>
      <font>
        <color auto="1"/>
      </font>
      <alignment horizontal="left" vertical="center" textRotation="0" wrapText="0" indent="0" justifyLastLine="0" shrinkToFit="0" readingOrder="0"/>
    </dxf>
    <dxf>
      <font>
        <color auto="1"/>
      </font>
      <alignment horizontal="general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wrapText="1"/>
    </dxf>
    <dxf>
      <alignment horizontal="left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z val="11"/>
        <color rgb="FF9C6500"/>
        <name val="Calibri"/>
        <charset val="1"/>
      </font>
      <fill>
        <patternFill>
          <bgColor rgb="FFFFEB9C"/>
        </patternFill>
      </fill>
    </dxf>
    <dxf>
      <font>
        <sz val="11"/>
        <color rgb="FF5F497A"/>
        <name val="Calibri"/>
        <charset val="1"/>
      </font>
      <fill>
        <patternFill>
          <bgColor rgb="FFE1D5E7"/>
        </patternFill>
      </fill>
    </dxf>
    <dxf>
      <font>
        <sz val="11"/>
        <color rgb="FF1F4E78"/>
        <name val="Calibri"/>
        <charset val="1"/>
      </font>
      <fill>
        <patternFill>
          <bgColor rgb="FFDDEBF7"/>
        </patternFill>
      </fill>
    </dxf>
    <dxf>
      <font>
        <sz val="11"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F497A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D0F5A52-E259-4B0A-A7FD-EBFDE332DEE3}"/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79.866103125001" createdVersion="8" refreshedVersion="8" minRefreshableVersion="3" recordCount="281" xr:uid="{FF1AF76E-F083-4043-B594-BED1FCA4E5E4}">
  <cacheSource type="worksheet">
    <worksheetSource ref="A1:N1048576" sheet="Detailed-Certification Tracker"/>
  </cacheSource>
  <cacheFields count="14">
    <cacheField name="Index" numFmtId="0">
      <sharedItems containsString="0" containsBlank="1" containsNumber="1" containsInteger="1" minValue="1" maxValue="280"/>
    </cacheField>
    <cacheField name="Name" numFmtId="0">
      <sharedItems containsBlank="1"/>
    </cacheField>
    <cacheField name="Email ID" numFmtId="0">
      <sharedItems containsBlank="1"/>
    </cacheField>
    <cacheField name="Status" numFmtId="0">
      <sharedItems containsBlank="1" count="5">
        <s v="Certified"/>
        <s v="In Progress"/>
        <s v="Attempted - Not Cleared"/>
        <m/>
        <s v="Waiting for Results" u="1"/>
      </sharedItems>
    </cacheField>
    <cacheField name="Manager" numFmtId="0">
      <sharedItems containsBlank="1"/>
    </cacheField>
    <cacheField name="PD/Leader" numFmtId="0">
      <sharedItems containsBlank="1" count="21">
        <s v="Chett Rubenstein"/>
        <s v="Sriram Mani"/>
        <s v="Unknown"/>
        <s v="Mir Ali"/>
        <s v="Ahmed Ali"/>
        <s v="Prakash Patil"/>
        <s v="Dhairya Shah"/>
        <s v="Mukesh Kumar"/>
        <s v="Mohammed Yakhoob"/>
        <s v="Bharath Babbur"/>
        <s v="Navid Kalantari "/>
        <s v="Stefano Pecora"/>
        <s v="Bhavesh Shah"/>
        <s v="Barath Arivazhagan"/>
        <s v="Murtaza Vajihee"/>
        <s v="Jay Modh"/>
        <s v="Mahesh Modi"/>
        <s v="Vyas Sarangapani "/>
        <s v="Biswajit Mohapatra"/>
        <m/>
        <s v="Debrup Mondal"/>
      </sharedItems>
    </cacheField>
    <cacheField name="Practice" numFmtId="0">
      <sharedItems containsBlank="1"/>
    </cacheField>
    <cacheField name="Prep Start Date" numFmtId="0">
      <sharedItems containsDate="1" containsBlank="1" containsMixedTypes="1" minDate="2025-05-01T00:00:00" maxDate="2026-12-07T00:00:00"/>
    </cacheField>
    <cacheField name="Exam Date" numFmtId="0">
      <sharedItems containsDate="1" containsBlank="1" containsMixedTypes="1" minDate="2025-05-10T00:00:00" maxDate="2026-09-08T00:00:00"/>
    </cacheField>
    <cacheField name="Certificate Number" numFmtId="0">
      <sharedItems containsBlank="1"/>
    </cacheField>
    <cacheField name="Cerification submission Date" numFmtId="0">
      <sharedItems containsNonDate="0" containsDate="1" containsString="0" containsBlank="1" minDate="2026-07-18T00:00:00" maxDate="2026-07-28T00:00:00"/>
    </cacheField>
    <cacheField name="Expiry Date" numFmtId="0">
      <sharedItems containsNonDate="0" containsString="0" containsBlank="1"/>
    </cacheField>
    <cacheField name="Certificate Vali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n v="1"/>
    <s v="Debrup Mondal"/>
    <s v="debrup.mondal@intuitive.ai"/>
    <x v="0"/>
    <s v="David Hammond"/>
    <x v="0"/>
    <s v="Data + AI"/>
    <d v="2026-02-02T00:00:00"/>
    <d v="2026-04-16T00:00:00"/>
    <s v="bgw8tjgpg4ni"/>
    <m/>
    <m/>
    <m/>
    <m/>
  </r>
  <r>
    <n v="2"/>
    <s v="Peter Turner"/>
    <s v="peter.turner@intuitive.ai"/>
    <x v="0"/>
    <s v="Sriram Mani"/>
    <x v="1"/>
    <s v="Cloud + Platform Engineering"/>
    <d v="2026-03-04T00:00:00"/>
    <d v="2026-06-04T00:00:00"/>
    <s v="uyfq7riowafc"/>
    <m/>
    <m/>
    <m/>
    <m/>
  </r>
  <r>
    <n v="3"/>
    <s v="Saurabh Singh"/>
    <s v="saurabh.singh@intuitive.ai"/>
    <x v="1"/>
    <s v="David Hammond"/>
    <x v="0"/>
    <s v="Data + AI"/>
    <d v="2026-05-05T00:00:00"/>
    <m/>
    <m/>
    <m/>
    <m/>
    <m/>
    <m/>
  </r>
  <r>
    <n v="4"/>
    <s v="Archit Pandita"/>
    <s v="archit.pandita@intuitive.cloud"/>
    <x v="0"/>
    <s v="Ankeit Taksh"/>
    <x v="2"/>
    <s v="Cloud + Platform Engineering"/>
    <d v="2026-05-04T00:00:00"/>
    <d v="2026-05-05T00:00:00"/>
    <s v=" jcntc6jwdjur"/>
    <m/>
    <m/>
    <m/>
    <m/>
  </r>
  <r>
    <n v="5"/>
    <s v="Deepak Garg"/>
    <s v="deepak.garg@intuitive.cloud"/>
    <x v="0"/>
    <s v="David Hammond"/>
    <x v="0"/>
    <s v="Data + AI"/>
    <d v="2026-05-05T00:00:00"/>
    <d v="2026-07-04T00:00:00"/>
    <m/>
    <m/>
    <m/>
    <m/>
    <m/>
  </r>
  <r>
    <n v="6"/>
    <s v="Khushi Carpenter"/>
    <s v="khushi.carpenter@intuitive.ai"/>
    <x v="0"/>
    <s v="Arindam Sarkar"/>
    <x v="1"/>
    <s v="Cloud + Platform Engineering"/>
    <m/>
    <d v="2026-02-05T00:00:00"/>
    <s v="2efkdf3gezwm"/>
    <m/>
    <m/>
    <m/>
    <m/>
  </r>
  <r>
    <n v="7"/>
    <s v="Saumil Shah"/>
    <s v="saumil.shah@intuitive.cloud"/>
    <x v="0"/>
    <s v="Arindam Sarkar"/>
    <x v="1"/>
    <s v="Cloud + Platform Engineering"/>
    <m/>
    <d v="2026-02-05T00:00:00"/>
    <s v="ujmpxr3abxxc"/>
    <m/>
    <m/>
    <m/>
    <m/>
  </r>
  <r>
    <n v="8"/>
    <s v="Harisha Ramappa"/>
    <s v="harisha.ramappa@intuitive.ai"/>
    <x v="0"/>
    <s v="Lisa Sikkema"/>
    <x v="0"/>
    <s v="Data + AI"/>
    <d v="2026-01-05T00:00:00"/>
    <d v="2026-01-06T00:00:00"/>
    <s v="udn87gck8zk6"/>
    <m/>
    <m/>
    <m/>
    <m/>
  </r>
  <r>
    <n v="9"/>
    <s v="Ashutosh Mishra"/>
    <s v="ashutosh.mishra@intuitive.ai"/>
    <x v="0"/>
    <s v="Mahendra Bhandari"/>
    <x v="3"/>
    <s v="Data + AI"/>
    <d v="2026-05-05T00:00:00"/>
    <d v="2026-05-10T00:00:00"/>
    <s v="u6htpwmgb998"/>
    <m/>
    <m/>
    <m/>
    <m/>
  </r>
  <r>
    <n v="10"/>
    <s v="Sakshi Zalavadia"/>
    <s v="sakshi.zalavadia@intuitive.cloud"/>
    <x v="0"/>
    <s v="Vishal Kanade"/>
    <x v="1"/>
    <s v="Engineering"/>
    <m/>
    <d v="2026-05-10T00:00:00"/>
    <s v="gpp6rju3fi5v."/>
    <m/>
    <m/>
    <m/>
    <m/>
  </r>
  <r>
    <n v="11"/>
    <s v="Devangi Goswami"/>
    <s v="devangi.goswami@intuitive.cloud"/>
    <x v="0"/>
    <s v="Vishal Kanade"/>
    <x v="1"/>
    <s v="Engineering"/>
    <m/>
    <d v="2025-05-10T00:00:00"/>
    <s v="et9xyxv9djbz"/>
    <m/>
    <m/>
    <m/>
    <m/>
  </r>
  <r>
    <n v="12"/>
    <s v="Liang Ren"/>
    <s v="liang.ren@intuitive.ai"/>
    <x v="0"/>
    <s v="Yassin Ali"/>
    <x v="4"/>
    <s v="Cybersecurity"/>
    <d v="2026-05-01T00:00:00"/>
    <d v="2026-05-13T00:00:00"/>
    <s v="fzaje8gdyxbw"/>
    <m/>
    <m/>
    <m/>
    <m/>
  </r>
  <r>
    <n v="13"/>
    <s v="Nicolas David"/>
    <s v="nicolas.david@intuitive.ai"/>
    <x v="1"/>
    <s v="Mir Ali"/>
    <x v="2"/>
    <s v="Cloud + Platform Engineering"/>
    <d v="2026-05-12T00:00:00"/>
    <m/>
    <m/>
    <m/>
    <m/>
    <m/>
    <m/>
  </r>
  <r>
    <n v="14"/>
    <s v="Melapoondi V Lokesh"/>
    <s v="melapoondi.lokesh@intuitive.ai"/>
    <x v="2"/>
    <s v="Prakash Patil"/>
    <x v="5"/>
    <s v="App + DB Mod"/>
    <d v="2026-05-05T00:00:00"/>
    <d v="2026-05-24T00:00:00"/>
    <m/>
    <m/>
    <m/>
    <m/>
    <m/>
  </r>
  <r>
    <n v="15"/>
    <s v="Adeeb Qazi"/>
    <s v="adeeb.qazi@intuitive.cloud"/>
    <x v="0"/>
    <s v="Prakash Patil"/>
    <x v="5"/>
    <s v="App + DB Mod"/>
    <m/>
    <d v="2025-05-12T00:00:00"/>
    <s v="zy5i78magvim"/>
    <m/>
    <m/>
    <m/>
    <m/>
  </r>
  <r>
    <n v="16"/>
    <s v="Dhairya Shah"/>
    <s v="dhairya.shah@intuitive.cloud"/>
    <x v="2"/>
    <s v="Stefano Pecora"/>
    <x v="6"/>
    <s v="Network Engineering"/>
    <m/>
    <d v="2026-05-13T00:00:00"/>
    <m/>
    <m/>
    <m/>
    <m/>
    <m/>
  </r>
  <r>
    <n v="17"/>
    <s v="Haribaskar D"/>
    <s v="hari.baskar@intuitive.ai"/>
    <x v="0"/>
    <s v="Deepak Shekhar"/>
    <x v="7"/>
    <s v="NetSec + SDx"/>
    <d v="2026-05-04T00:00:00"/>
    <d v="2026-05-19T00:00:00"/>
    <s v="p5bfm4iibbt8"/>
    <m/>
    <m/>
    <m/>
    <m/>
  </r>
  <r>
    <n v="18"/>
    <s v="Yatiraj Panchal"/>
    <s v="yatiraj.panchal@intuitive.cloud"/>
    <x v="0"/>
    <s v="Deepak Shekhar"/>
    <x v="7"/>
    <s v="NetSec + SDx"/>
    <d v="2026-05-06T00:00:00"/>
    <d v="2026-05-23T00:00:00"/>
    <s v="xhuzdkrp6f7b"/>
    <m/>
    <m/>
    <m/>
    <m/>
  </r>
  <r>
    <n v="19"/>
    <s v="Sathish Kumar Devasenathypathy"/>
    <s v="sathish.devasenathypathy@intuitive.cloud"/>
    <x v="0"/>
    <s v="David Hammond"/>
    <x v="0"/>
    <s v="Data + AI"/>
    <d v="2026-05-06T00:00:00"/>
    <d v="2026-08-06T00:00:00"/>
    <m/>
    <m/>
    <m/>
    <m/>
    <m/>
  </r>
  <r>
    <n v="20"/>
    <s v="Geethu Raj"/>
    <s v="geethu.raj@intuitive.ai"/>
    <x v="0"/>
    <s v="David Hammond"/>
    <x v="0"/>
    <s v="Data + AI"/>
    <d v="2026-04-29T00:00:00"/>
    <d v="2026-05-30T00:00:00"/>
    <s v="sz6u3cchctoo"/>
    <m/>
    <m/>
    <m/>
    <m/>
  </r>
  <r>
    <n v="21"/>
    <s v="Loraine Carrasco"/>
    <s v="loraine.carrasco@intuitive.cloud"/>
    <x v="1"/>
    <s v="Mohammed Owais"/>
    <x v="8"/>
    <s v="PMO"/>
    <d v="2026-05-14T00:00:00"/>
    <m/>
    <m/>
    <m/>
    <m/>
    <m/>
    <m/>
  </r>
  <r>
    <n v="22"/>
    <s v="Siva Bandarupalli"/>
    <s v="siva.bandarupalli@intuitive.cloud"/>
    <x v="0"/>
    <s v="Tony Boppuri"/>
    <x v="1"/>
    <s v="Engineering"/>
    <d v="2026-05-15T00:00:00"/>
    <d v="2026-05-31T00:00:00"/>
    <s v="8tnoos4j8xkk"/>
    <m/>
    <m/>
    <m/>
    <m/>
  </r>
  <r>
    <n v="23"/>
    <s v="Christopher Dunbar"/>
    <s v="christopher.dunbar@intuitive.ai"/>
    <x v="2"/>
    <s v="Richard Dankworth"/>
    <x v="9"/>
    <s v="NetSec + SDx"/>
    <d v="2026-05-04T00:00:00"/>
    <m/>
    <m/>
    <m/>
    <m/>
    <m/>
    <m/>
  </r>
  <r>
    <n v="24"/>
    <s v="Kyle Davis"/>
    <s v="kyle.davis@intuitive.cloud"/>
    <x v="2"/>
    <s v="Mohammed Owais"/>
    <x v="8"/>
    <s v="PMO"/>
    <d v="2026-05-11T00:00:00"/>
    <m/>
    <m/>
    <m/>
    <m/>
    <m/>
    <m/>
  </r>
  <r>
    <n v="25"/>
    <s v="Divya Chauhan"/>
    <s v="divya.chauhan@intuitive.ai"/>
    <x v="0"/>
    <s v="Peter Turner"/>
    <x v="1"/>
    <s v="Cloud + Platform Engineering"/>
    <d v="2026-05-06T00:00:00"/>
    <d v="2026-05-30T00:00:00"/>
    <s v="fhnh3aggivtc"/>
    <m/>
    <m/>
    <m/>
    <m/>
  </r>
  <r>
    <n v="26"/>
    <s v="Deepak Shekhar"/>
    <s v="deepak.shekhar@intuitive.cloud"/>
    <x v="0"/>
    <s v="Mukesh Kumar"/>
    <x v="7"/>
    <s v="Network Engineering"/>
    <d v="2026-04-30T00:00:00"/>
    <d v="2026-05-27T00:00:00"/>
    <s v="ouab87af689m"/>
    <m/>
    <m/>
    <m/>
    <m/>
  </r>
  <r>
    <n v="27"/>
    <s v="Tanay Joshi"/>
    <s v="tanay.joshi@intuitive.ai"/>
    <x v="0"/>
    <s v="Deepak Shekhar"/>
    <x v="7"/>
    <s v="NetSec + SDx"/>
    <d v="2026-05-14T00:00:00"/>
    <d v="2026-05-26T00:00:00"/>
    <s v="mqubqibnfp82"/>
    <m/>
    <m/>
    <m/>
    <m/>
  </r>
  <r>
    <n v="28"/>
    <s v="Mukesh Kumar"/>
    <s v="mukesh.kumar@intuitive.cloud"/>
    <x v="1"/>
    <s v="Stefano Pecora"/>
    <x v="7"/>
    <s v="Network Engineering"/>
    <d v="2026-05-15T00:00:00"/>
    <m/>
    <m/>
    <m/>
    <m/>
    <m/>
    <m/>
  </r>
  <r>
    <n v="29"/>
    <s v="Axat Shah"/>
    <s v="axat.shah@intuitive.cloud"/>
    <x v="0"/>
    <s v="Nitin Sharma"/>
    <x v="7"/>
    <s v="NetSec + SDx"/>
    <d v="2026-05-13T00:00:00"/>
    <d v="2026-05-31T00:00:00"/>
    <s v="7ei9fbkzp2w"/>
    <m/>
    <m/>
    <m/>
    <m/>
  </r>
  <r>
    <n v="30"/>
    <s v="Satish Kumar"/>
    <s v="satish.kumar@intuitive.cloud"/>
    <x v="0"/>
    <s v="Sriram Mani"/>
    <x v="2"/>
    <s v="Cloud + Platform Engineering"/>
    <d v="2026-05-11T00:00:00"/>
    <m/>
    <m/>
    <m/>
    <m/>
    <m/>
    <m/>
  </r>
  <r>
    <n v="31"/>
    <s v="Ajay Pothini"/>
    <s v="ajay.pothini@intuitive.ai"/>
    <x v="2"/>
    <s v="Stefano Pecora"/>
    <x v="2"/>
    <s v="Engineering"/>
    <d v="2026-05-11T00:00:00"/>
    <d v="2026-06-29T00:00:00"/>
    <m/>
    <m/>
    <m/>
    <m/>
    <m/>
  </r>
  <r>
    <n v="32"/>
    <s v="Keval Hingu"/>
    <s v="keval.hingu@intuitive.ai"/>
    <x v="0"/>
    <s v="Vishal Kanade"/>
    <x v="1"/>
    <s v="Engineering"/>
    <d v="2026-05-15T00:00:00"/>
    <d v="2026-05-27T00:00:00"/>
    <s v="e3nazqi5xy6r"/>
    <m/>
    <m/>
    <m/>
    <m/>
  </r>
  <r>
    <n v="33"/>
    <s v="Mohamed Kurdi"/>
    <s v="mohamed.kurdi@intuitive.ai"/>
    <x v="0"/>
    <s v="Yassin Ali"/>
    <x v="4"/>
    <s v="NetSec + SDx"/>
    <d v="2026-05-01T00:00:00"/>
    <d v="2026-05-15T00:00:00"/>
    <s v="7ybpmfkb87b4"/>
    <m/>
    <m/>
    <m/>
    <m/>
  </r>
  <r>
    <n v="34"/>
    <s v="Rajdeepsinh Jadeja"/>
    <s v="rajdeepsinh.jadeja@intuitive.ai"/>
    <x v="0"/>
    <s v="Yassin Ali"/>
    <x v="4"/>
    <s v="NetSec + SDx"/>
    <d v="2026-05-01T00:00:00"/>
    <d v="2026-05-15T00:00:00"/>
    <s v="ngobazvzd9x4"/>
    <m/>
    <m/>
    <m/>
    <m/>
  </r>
  <r>
    <n v="35"/>
    <s v="Dinesh Verma "/>
    <s v="dinesh.verma@intuitive.cloud"/>
    <x v="0"/>
    <s v="Mahendra Bhandari"/>
    <x v="3"/>
    <s v="Data + AI"/>
    <d v="2026-05-01T00:00:00"/>
    <d v="2026-05-24T00:00:00"/>
    <s v="u2tio9s32q82"/>
    <m/>
    <m/>
    <m/>
    <m/>
  </r>
  <r>
    <n v="36"/>
    <s v="Keith Corbett"/>
    <s v="keith.corbett@intuitive.ai"/>
    <x v="1"/>
    <s v="Pete Rivett"/>
    <x v="5"/>
    <s v="App + DB Mod"/>
    <d v="2026-05-15T00:00:00"/>
    <m/>
    <m/>
    <m/>
    <m/>
    <m/>
    <m/>
  </r>
  <r>
    <n v="37"/>
    <s v="Ayush Churi"/>
    <s v="ayush.churi@intuitive.cloud"/>
    <x v="2"/>
    <s v="Nitin Sharma"/>
    <x v="7"/>
    <s v="NetSec + SDx"/>
    <d v="2026-05-15T00:00:00"/>
    <d v="2026-06-03T00:00:00"/>
    <m/>
    <m/>
    <m/>
    <m/>
    <m/>
  </r>
  <r>
    <n v="38"/>
    <s v="Satyawan Mali"/>
    <s v="satyawan.mali@intuitive.cloud"/>
    <x v="0"/>
    <s v="Ahmed Ali"/>
    <x v="4"/>
    <s v="NetSec + SDx"/>
    <d v="2026-05-10T00:00:00"/>
    <d v="2026-05-28T00:00:00"/>
    <s v="xmm4dyt2gu4a"/>
    <m/>
    <m/>
    <m/>
    <m/>
  </r>
  <r>
    <n v="39"/>
    <s v="Umamaheswari Challa"/>
    <s v="umamaheswari.challa@intuitive.cloud"/>
    <x v="0"/>
    <m/>
    <x v="10"/>
    <s v="Data + AI"/>
    <d v="2026-05-13T00:00:00"/>
    <d v="2026-05-18T00:00:00"/>
    <s v="sq65aegaen2h"/>
    <m/>
    <m/>
    <m/>
    <m/>
  </r>
  <r>
    <n v="40"/>
    <s v="Sahil Garg"/>
    <s v="sahil.garg@intuitive.ai"/>
    <x v="1"/>
    <s v="Prakash Patil"/>
    <x v="5"/>
    <s v="App + DB Mod"/>
    <d v="2026-05-14T00:00:00"/>
    <m/>
    <m/>
    <m/>
    <m/>
    <m/>
    <m/>
  </r>
  <r>
    <n v="41"/>
    <s v="Aditya Parmar"/>
    <s v="aditya.parmar@intuitive.cloud"/>
    <x v="0"/>
    <s v="Kiran Kumar"/>
    <x v="4"/>
    <s v="NetSec + SDx"/>
    <d v="2026-05-18T00:00:00"/>
    <d v="2026-05-30T00:00:00"/>
    <s v="rrgisapphue7"/>
    <m/>
    <m/>
    <m/>
    <m/>
  </r>
  <r>
    <n v="42"/>
    <s v="Piyush Jalan"/>
    <s v="piyush.jalan@intuitive.ai"/>
    <x v="0"/>
    <s v="Sriram Mani"/>
    <x v="11"/>
    <s v="Cloud + Platform Engineering"/>
    <d v="2026-01-04T00:00:00"/>
    <d v="2026-05-19T00:00:00"/>
    <s v="ake4kjreejpc"/>
    <m/>
    <m/>
    <m/>
    <m/>
  </r>
  <r>
    <n v="43"/>
    <s v="Jonathan Allen"/>
    <s v="jonathan.allen@intuitive.ai"/>
    <x v="1"/>
    <m/>
    <x v="4"/>
    <s v="NetSec + SDx"/>
    <d v="2026-05-11T00:00:00"/>
    <m/>
    <m/>
    <m/>
    <m/>
    <m/>
    <m/>
  </r>
  <r>
    <n v="44"/>
    <s v="Swarup Kulkarni"/>
    <s v="swarup.kulkarni@intuitive.cloud"/>
    <x v="0"/>
    <s v="Barath Arivazhagan"/>
    <x v="11"/>
    <s v="Cloud + Platform Engineering"/>
    <d v="2026-05-10T00:00:00"/>
    <d v="2026-05-20T00:00:00"/>
    <s v="966jjt622ry9"/>
    <m/>
    <m/>
    <m/>
    <m/>
  </r>
  <r>
    <n v="45"/>
    <s v="Pooja Rana"/>
    <s v="pooja.rana@intuitive.ai"/>
    <x v="1"/>
    <s v="Ahmed Ali"/>
    <x v="4"/>
    <s v="NetSec + SDx"/>
    <d v="2026-05-25T00:00:00"/>
    <m/>
    <m/>
    <m/>
    <m/>
    <m/>
    <m/>
  </r>
  <r>
    <n v="46"/>
    <s v="Rajesh Kumar Rout"/>
    <s v="rajesh.rout@intuitive.ai"/>
    <x v="0"/>
    <s v="David Hammond"/>
    <x v="0"/>
    <s v="Data + AI"/>
    <d v="2026-05-15T00:00:00"/>
    <m/>
    <m/>
    <m/>
    <m/>
    <m/>
    <m/>
  </r>
  <r>
    <n v="47"/>
    <s v="Arjit Silojiya"/>
    <s v="arjit.silojiya@intuitive.ai"/>
    <x v="0"/>
    <s v="Prakash Patil"/>
    <x v="5"/>
    <s v="App + DB Mod"/>
    <d v="2026-05-11T00:00:00"/>
    <d v="2026-05-19T00:00:00"/>
    <s v="92t2zkguxnch"/>
    <m/>
    <m/>
    <m/>
    <m/>
  </r>
  <r>
    <n v="48"/>
    <s v="Akshay Ketkar"/>
    <s v="akshay.ketkar@intuitive.ai"/>
    <x v="0"/>
    <s v="Vivek Mohan"/>
    <x v="3"/>
    <s v="Data + AI"/>
    <d v="2026-05-13T00:00:00"/>
    <d v="2026-06-01T00:00:00"/>
    <s v="br54dwrovv4t"/>
    <m/>
    <m/>
    <m/>
    <m/>
  </r>
  <r>
    <n v="49"/>
    <s v="Dr Ganesh Dhumal"/>
    <s v="ganesh.dhumal@intuitive.ai"/>
    <x v="0"/>
    <s v="Prakash Patil"/>
    <x v="5"/>
    <s v="App + DB Mod"/>
    <d v="2026-05-11T00:00:00"/>
    <d v="2026-05-24T00:00:00"/>
    <s v="fzeyeb3o8tyo"/>
    <m/>
    <m/>
    <m/>
    <m/>
  </r>
  <r>
    <n v="50"/>
    <s v="Kelvi Manavadaria"/>
    <s v="kelvi.manavadaria@intuitive.cloud"/>
    <x v="0"/>
    <s v="Piyush Jalan"/>
    <x v="1"/>
    <s v="Cloud + Platform Engineering"/>
    <d v="2026-05-01T00:00:00"/>
    <d v="2026-05-16T00:00:00"/>
    <s v="v63vrzbrjkdk"/>
    <m/>
    <m/>
    <m/>
    <m/>
  </r>
  <r>
    <n v="51"/>
    <s v="Brandon Collins"/>
    <s v="brandon.collins@intuitive.ai"/>
    <x v="0"/>
    <s v="Sean Taylor"/>
    <x v="11"/>
    <s v="Cloud + Platform Engineering"/>
    <d v="2026-05-11T00:00:00"/>
    <d v="2026-05-24T00:00:00"/>
    <s v="kjg78rmkmv4e"/>
    <m/>
    <m/>
    <m/>
    <m/>
  </r>
  <r>
    <n v="52"/>
    <s v="Rahul Singh"/>
    <s v="rahul.singh@intuitive.ai"/>
    <x v="1"/>
    <s v="Piyush Jalan"/>
    <x v="1"/>
    <s v="Cloud + Platform Engineering"/>
    <d v="2026-05-18T00:00:00"/>
    <m/>
    <m/>
    <m/>
    <m/>
    <m/>
    <m/>
  </r>
  <r>
    <n v="53"/>
    <s v="Saleh Al-Bualy"/>
    <s v="saleh.al-bualy@intuitive.ai"/>
    <x v="1"/>
    <s v="Mike Shilling"/>
    <x v="4"/>
    <s v="NetSec + SDx"/>
    <d v="2026-05-11T00:00:00"/>
    <m/>
    <m/>
    <m/>
    <m/>
    <m/>
    <m/>
  </r>
  <r>
    <n v="54"/>
    <s v="Umar Khan"/>
    <s v="umar.khan@intuitive.cloud"/>
    <x v="0"/>
    <s v="Sriram Mani"/>
    <x v="1"/>
    <s v="Cloud + Platform Engineering"/>
    <d v="2026-04-30T00:00:00"/>
    <d v="2026-05-26T00:00:00"/>
    <s v="4cvgajj6p6ji"/>
    <m/>
    <m/>
    <m/>
    <m/>
  </r>
  <r>
    <n v="55"/>
    <s v="Kripal Singh"/>
    <s v="kripal.singh@intuitive.cloud"/>
    <x v="2"/>
    <s v="Mahendra Bhandari"/>
    <x v="10"/>
    <s v="Data + AI"/>
    <d v="2026-05-12T00:00:00"/>
    <d v="2026-05-29T00:00:00"/>
    <m/>
    <m/>
    <m/>
    <m/>
    <m/>
  </r>
  <r>
    <n v="56"/>
    <s v="Vidushi Tyagi"/>
    <s v="vidushi.tyagi@intuitive.ai"/>
    <x v="0"/>
    <s v="David Hammond"/>
    <x v="0"/>
    <s v="Data + AI"/>
    <d v="2026-05-01T00:00:00"/>
    <d v="2026-06-27T00:00:00"/>
    <m/>
    <m/>
    <m/>
    <m/>
    <m/>
  </r>
  <r>
    <n v="57"/>
    <s v="Simardeep Singh"/>
    <s v="simardeep.singh@intuitive.cloud"/>
    <x v="1"/>
    <s v="Tony Boppuri"/>
    <x v="1"/>
    <s v="Engineering"/>
    <d v="2026-05-25T00:00:00"/>
    <m/>
    <m/>
    <m/>
    <m/>
    <m/>
    <m/>
  </r>
  <r>
    <n v="58"/>
    <s v="Jayaprakash Mariyappan"/>
    <s v="jayaprakash.mariyappan@intuitive.cloud"/>
    <x v="0"/>
    <s v="Honey Agarwal"/>
    <x v="1"/>
    <s v="Cloud + Platform Engineering"/>
    <d v="2026-05-26T00:00:00"/>
    <d v="2026-06-18T00:00:00"/>
    <m/>
    <m/>
    <m/>
    <m/>
    <m/>
  </r>
  <r>
    <n v="59"/>
    <s v="Aniket Purohit"/>
    <s v="aniket.purohit@intuitive.cloud"/>
    <x v="0"/>
    <s v="Honey Agarwal"/>
    <x v="1"/>
    <s v="Cloud + Platform Engineering"/>
    <m/>
    <d v="2026-05-23T00:00:00"/>
    <s v="fxewzd4784jk"/>
    <m/>
    <m/>
    <m/>
    <m/>
  </r>
  <r>
    <n v="60"/>
    <s v="Lucian Cimpeanu"/>
    <s v="lucian.cimpeanu@intuitive.ai"/>
    <x v="1"/>
    <s v="Sriram Mani"/>
    <x v="1"/>
    <s v="Cloud + Platform Engineering"/>
    <d v="2026-05-19T00:00:00"/>
    <m/>
    <m/>
    <m/>
    <m/>
    <m/>
    <m/>
  </r>
  <r>
    <n v="61"/>
    <s v="MohammedAyub "/>
    <s v="mohammed.ayub@intuitive.ai"/>
    <x v="0"/>
    <s v="Vishal Kanade"/>
    <x v="1"/>
    <s v="Cloud + Platform Engineering"/>
    <d v="2026-05-07T00:00:00"/>
    <d v="2026-05-22T00:00:00"/>
    <s v="872wfkemw8ou"/>
    <m/>
    <m/>
    <m/>
    <m/>
  </r>
  <r>
    <n v="62"/>
    <s v="Bhoomika Dharmani"/>
    <s v="bhoomika.dharmani@intuitive.cloud"/>
    <x v="2"/>
    <s v="Mahendra Bhandari"/>
    <x v="10"/>
    <s v="Data + AI"/>
    <d v="2026-05-18T00:00:00"/>
    <m/>
    <m/>
    <m/>
    <m/>
    <m/>
    <m/>
  </r>
  <r>
    <n v="63"/>
    <s v="Anmol Purohit"/>
    <s v="anmol.purohit@intuitive.ai"/>
    <x v="0"/>
    <s v="Nitin Sharma"/>
    <x v="7"/>
    <s v="NetSec + SDx"/>
    <d v="2026-06-11T00:00:00"/>
    <d v="2026-08-01T00:00:00"/>
    <m/>
    <m/>
    <m/>
    <m/>
    <m/>
  </r>
  <r>
    <n v="64"/>
    <s v="Zayeed Chowdhury"/>
    <s v="zayeed.chowdhury@intuitive.ai"/>
    <x v="1"/>
    <s v="Vyas Sarang."/>
    <x v="11"/>
    <m/>
    <d v="2026-05-13T00:00:00"/>
    <m/>
    <m/>
    <m/>
    <m/>
    <m/>
    <m/>
  </r>
  <r>
    <n v="65"/>
    <s v="Mufaddal Suratwala"/>
    <s v="mufaddal.suratwala@intuitive.ai"/>
    <x v="0"/>
    <s v="Yassin Ali"/>
    <x v="4"/>
    <s v="NetSec + SDx"/>
    <d v="2026-05-15T00:00:00"/>
    <d v="2026-05-25T00:00:00"/>
    <s v="ifpowwd9hrug"/>
    <m/>
    <m/>
    <m/>
    <m/>
  </r>
  <r>
    <n v="66"/>
    <s v="Tanmay Tiwari"/>
    <s v="tanmay.tiwari@intuitive.ai"/>
    <x v="0"/>
    <s v="Prakash Patil"/>
    <x v="5"/>
    <s v="App + DB Mod"/>
    <d v="2026-05-01T00:00:00"/>
    <d v="2026-05-25T00:00:00"/>
    <s v=" cgqb6vtazcdz"/>
    <m/>
    <m/>
    <m/>
    <m/>
  </r>
  <r>
    <n v="67"/>
    <s v="Praveenkumar Dasari"/>
    <s v="praveenkumar.dasari@intuitive.cloud"/>
    <x v="0"/>
    <s v="Peter Turner"/>
    <x v="1"/>
    <s v="Cloud + Platform Engineering"/>
    <d v="2026-05-15T00:00:00"/>
    <d v="2026-06-08T00:00:00"/>
    <s v="5qnxavxanwse"/>
    <m/>
    <m/>
    <m/>
    <m/>
  </r>
  <r>
    <n v="68"/>
    <s v="Nirav Jadav"/>
    <s v="nirav.jadav@intuitive.cloud"/>
    <x v="1"/>
    <s v="Mohammed Shabbir"/>
    <x v="5"/>
    <s v="App + DB Mod"/>
    <d v="2025-05-01T00:00:00"/>
    <d v="2026-05-28T00:00:00"/>
    <m/>
    <m/>
    <m/>
    <m/>
    <m/>
  </r>
  <r>
    <n v="69"/>
    <s v="Netal Agrawal"/>
    <s v="netal.agrawal@intuitive.ai"/>
    <x v="0"/>
    <s v="Deepak Shekhar"/>
    <x v="7"/>
    <s v="NetSec + SDx"/>
    <d v="2026-05-25T00:00:00"/>
    <s v="17/06/2026"/>
    <m/>
    <m/>
    <m/>
    <m/>
    <m/>
  </r>
  <r>
    <n v="70"/>
    <s v="Akshya Iyer"/>
    <s v="akshya.iyer@intuitive.ai"/>
    <x v="0"/>
    <s v="Nitin Sharma"/>
    <x v="7"/>
    <s v="NetSec + SDx"/>
    <d v="2026-05-25T00:00:00"/>
    <s v="17/06/2026"/>
    <m/>
    <m/>
    <m/>
    <m/>
    <m/>
  </r>
  <r>
    <n v="71"/>
    <s v="Chintan Patel"/>
    <s v="chintan.patel@intuitive.ai"/>
    <x v="0"/>
    <s v="Pritam Dodeja"/>
    <x v="10"/>
    <s v="Data + AI"/>
    <m/>
    <d v="2026-03-05T00:00:00"/>
    <s v="h8xt3ms4j7aa"/>
    <m/>
    <m/>
    <m/>
    <m/>
  </r>
  <r>
    <n v="72"/>
    <s v="Prem Gandhi"/>
    <s v="prem.gandhi@intuitive.ai"/>
    <x v="0"/>
    <s v="Vivek Mohan"/>
    <x v="10"/>
    <s v="Data + AI"/>
    <d v="2025-05-10T00:00:00"/>
    <d v="2026-05-31T00:00:00"/>
    <m/>
    <m/>
    <m/>
    <m/>
    <m/>
  </r>
  <r>
    <n v="73"/>
    <s v="Durga Prasad"/>
    <s v="durga.prasad@intuitive.ai"/>
    <x v="0"/>
    <s v="Prakash Patil"/>
    <x v="5"/>
    <s v="App + DB Mod"/>
    <d v="2026-05-02T00:00:00"/>
    <d v="2026-05-26T00:00:00"/>
    <s v="mxz7fd5joeo6"/>
    <m/>
    <m/>
    <m/>
    <m/>
  </r>
  <r>
    <n v="74"/>
    <s v="Ismail Raja "/>
    <s v="ismail.taher@intuitive.cloud"/>
    <x v="0"/>
    <s v="Sriram Mani"/>
    <x v="1"/>
    <s v="Cloud + Platform Engineering"/>
    <d v="2026-05-11T00:00:00"/>
    <d v="2026-05-29T00:00:00"/>
    <s v="vrhb4mm2kv2v"/>
    <m/>
    <m/>
    <m/>
    <m/>
  </r>
  <r>
    <n v="75"/>
    <s v="Akshay Kumar Agarwal"/>
    <s v="akshay.agarwal@intuitive.ai"/>
    <x v="0"/>
    <s v="Prakash Patil"/>
    <x v="5"/>
    <s v="App + DB Mod"/>
    <d v="2026-04-28T00:00:00"/>
    <d v="2026-05-26T00:00:00"/>
    <s v="kzgctvfghfg4"/>
    <m/>
    <m/>
    <m/>
    <m/>
  </r>
  <r>
    <n v="76"/>
    <s v="Shubham Baranwal"/>
    <s v="shubham.baranwal@intuitive.ai"/>
    <x v="0"/>
    <s v="Abdul Ghani"/>
    <x v="5"/>
    <s v="App + DB Mod"/>
    <d v="2026-05-15T00:00:00"/>
    <m/>
    <m/>
    <m/>
    <m/>
    <m/>
    <m/>
  </r>
  <r>
    <n v="77"/>
    <s v="Ahmad Bokairat"/>
    <s v="ahmad.bokairat@intuitive.cloud"/>
    <x v="0"/>
    <s v="Stefano Pecora"/>
    <x v="11"/>
    <s v="Cloud + Platform Engineering"/>
    <d v="2026-05-10T00:00:00"/>
    <m/>
    <m/>
    <m/>
    <m/>
    <m/>
    <m/>
  </r>
  <r>
    <n v="78"/>
    <s v="Jamie Cooke"/>
    <s v="jamie.cooke@intuitive.ai"/>
    <x v="1"/>
    <s v="Barath Arivazhagan"/>
    <x v="11"/>
    <s v="Cloud + Platform Engineering"/>
    <d v="2026-05-15T00:00:00"/>
    <m/>
    <m/>
    <m/>
    <m/>
    <m/>
    <m/>
  </r>
  <r>
    <n v="79"/>
    <s v="Satya Prakash Deep"/>
    <s v="satya.prakash@intuitive.ai"/>
    <x v="0"/>
    <s v="Vivek Mohan"/>
    <x v="3"/>
    <s v="Data + AI"/>
    <m/>
    <d v="2026-05-27T00:00:00"/>
    <s v="dnzkw6mhnyqg"/>
    <m/>
    <m/>
    <m/>
    <m/>
  </r>
  <r>
    <n v="80"/>
    <s v="Shabhana Mohammed"/>
    <s v="shabhana.mohammed@intuitive.ai"/>
    <x v="0"/>
    <s v="David Hammond"/>
    <x v="0"/>
    <s v="Data + AI"/>
    <d v="2026-05-27T00:00:00"/>
    <m/>
    <m/>
    <m/>
    <m/>
    <m/>
    <m/>
  </r>
  <r>
    <n v="81"/>
    <s v="Vishal Kanade"/>
    <s v="vishal.kanade@intuitive.cloud"/>
    <x v="0"/>
    <s v="Lucian Cimpeanu"/>
    <x v="1"/>
    <s v="Cloud + Platform Engineering"/>
    <d v="2026-05-25T00:00:00"/>
    <d v="2026-05-31T00:00:00"/>
    <s v="jo3hzueyydwz"/>
    <m/>
    <m/>
    <m/>
    <m/>
  </r>
  <r>
    <n v="82"/>
    <s v="Ramganesh S"/>
    <s v="ramganesh.subramanian@intuitive.cloud"/>
    <x v="0"/>
    <s v="Mir Ali"/>
    <x v="2"/>
    <s v="Data + AI"/>
    <d v="2026-05-25T00:00:00"/>
    <d v="2026-07-14T00:00:00"/>
    <m/>
    <m/>
    <m/>
    <m/>
    <m/>
  </r>
  <r>
    <n v="83"/>
    <s v="Raghavendra Hegde"/>
    <s v="raghavendra.hegde@intuitive.ai"/>
    <x v="2"/>
    <s v="Mohammed Shabbir"/>
    <x v="5"/>
    <s v="App + DB Mod"/>
    <d v="2026-06-01T00:00:00"/>
    <m/>
    <m/>
    <m/>
    <m/>
    <m/>
    <m/>
  </r>
  <r>
    <n v="84"/>
    <s v="Farhan Ahemad"/>
    <s v="farhan.ahemad@intuitive.ai"/>
    <x v="0"/>
    <s v="Dhairya Shah"/>
    <x v="6"/>
    <s v="NetSec + SDx"/>
    <d v="2026-05-20T00:00:00"/>
    <d v="2026-06-03T00:00:00"/>
    <s v="b9vm6n28ugka"/>
    <m/>
    <m/>
    <m/>
    <m/>
  </r>
  <r>
    <n v="85"/>
    <s v="Jason Jafari"/>
    <s v="jason.jafari@intuitive.ai"/>
    <x v="2"/>
    <s v="Sriram Mani"/>
    <x v="2"/>
    <s v="Cloud + Platform Engineering"/>
    <d v="2026-06-01T00:00:00"/>
    <m/>
    <m/>
    <m/>
    <m/>
    <m/>
    <m/>
  </r>
  <r>
    <n v="86"/>
    <s v="Usamah Shafi"/>
    <s v="usamah.shafi@intuitive.cloud"/>
    <x v="0"/>
    <s v="Tony Boppuri"/>
    <x v="1"/>
    <s v="Cloud + Platform Engineering"/>
    <m/>
    <d v="2026-06-01T00:00:00"/>
    <s v="pfkom3aivp9c"/>
    <m/>
    <m/>
    <m/>
    <m/>
  </r>
  <r>
    <n v="87"/>
    <s v="Aditya Manral"/>
    <s v="aditya.manral@intuitive.ai"/>
    <x v="0"/>
    <s v="Vivek Mohan"/>
    <x v="3"/>
    <s v="Data + AI"/>
    <d v="2026-05-18T00:00:00"/>
    <d v="2026-05-31T00:00:00"/>
    <s v="8fywwrmtu8ek"/>
    <m/>
    <m/>
    <m/>
    <m/>
  </r>
  <r>
    <n v="88"/>
    <s v="Hetul Patel"/>
    <s v="hetul.patel@intuitive.ai"/>
    <x v="0"/>
    <s v="Vivek Mohan"/>
    <x v="10"/>
    <s v="Data + AI"/>
    <d v="2026-05-25T00:00:00"/>
    <d v="2026-06-20T00:00:00"/>
    <m/>
    <m/>
    <m/>
    <m/>
    <m/>
  </r>
  <r>
    <n v="89"/>
    <s v="Sansriti Ishwar"/>
    <s v="sansriti.ishwar@intuitive.ai"/>
    <x v="0"/>
    <s v="Vivek Mohan"/>
    <x v="10"/>
    <s v="Data + AI"/>
    <m/>
    <d v="2026-06-17T00:00:00"/>
    <m/>
    <m/>
    <m/>
    <m/>
    <m/>
  </r>
  <r>
    <n v="90"/>
    <s v="Mohammed Shabbir"/>
    <s v="mohammed.shabbir@intuitive.ai"/>
    <x v="1"/>
    <s v="Prakash Patil"/>
    <x v="5"/>
    <s v="App + DB Mod"/>
    <d v="2026-06-01T00:00:00"/>
    <d v="2026-06-30T00:00:00"/>
    <m/>
    <m/>
    <m/>
    <m/>
    <m/>
  </r>
  <r>
    <n v="91"/>
    <s v="Anil Amara"/>
    <s v="anil.amara@intuitive.ai"/>
    <x v="1"/>
    <s v="Mohammed Shabbir"/>
    <x v="5"/>
    <s v="App + DB Mod"/>
    <d v="2026-06-01T00:00:00"/>
    <d v="2026-06-30T00:00:00"/>
    <m/>
    <m/>
    <m/>
    <m/>
    <m/>
  </r>
  <r>
    <n v="92"/>
    <s v="Mohammad Sajid"/>
    <s v="mohammad.sajid@intuitive.ai"/>
    <x v="0"/>
    <s v="Mohammed Shabbir"/>
    <x v="5"/>
    <s v="App + DB Mod"/>
    <d v="2026-06-01T00:00:00"/>
    <d v="2026-06-29T00:00:00"/>
    <m/>
    <m/>
    <m/>
    <m/>
    <m/>
  </r>
  <r>
    <n v="93"/>
    <s v="Sulemaan Mohammed"/>
    <s v="sulemaan.mohammed@intuitive.ai"/>
    <x v="1"/>
    <s v="Mohammed Shabbir"/>
    <x v="5"/>
    <s v="App + DB Mod"/>
    <d v="2026-06-01T00:00:00"/>
    <d v="2026-06-30T00:00:00"/>
    <m/>
    <m/>
    <m/>
    <m/>
    <m/>
  </r>
  <r>
    <n v="94"/>
    <s v="Venkata Edara"/>
    <s v="sivapriya.jeganathan@intuitive.ai"/>
    <x v="1"/>
    <s v="Mohammed Shabbir"/>
    <x v="5"/>
    <s v="Cloud + Platform Engineering"/>
    <d v="2026-06-01T00:00:00"/>
    <d v="2026-06-30T00:00:00"/>
    <m/>
    <m/>
    <m/>
    <m/>
    <m/>
  </r>
  <r>
    <n v="95"/>
    <s v="Sachin Badapure"/>
    <s v="sachin.badapure@intuitive.cloud"/>
    <x v="1"/>
    <s v="Mohammed Shabbir"/>
    <x v="5"/>
    <s v="Cloud + Platform Engineering"/>
    <d v="2026-06-01T00:00:00"/>
    <d v="2026-07-12T00:00:00"/>
    <m/>
    <m/>
    <m/>
    <m/>
    <m/>
  </r>
  <r>
    <n v="96"/>
    <s v="Ankur Gupta"/>
    <s v="ankur.gupta@intuitive.ai"/>
    <x v="1"/>
    <s v="Mohammed Shabbir"/>
    <x v="5"/>
    <s v="App + DB Mod"/>
    <d v="2026-06-01T00:00:00"/>
    <d v="2026-06-30T00:00:00"/>
    <m/>
    <m/>
    <m/>
    <m/>
    <m/>
  </r>
  <r>
    <n v="97"/>
    <s v="Sarfaraz Makandar"/>
    <s v="sarfaraz.makandar@intuitive.cloud"/>
    <x v="1"/>
    <s v="Mohammed Shabbir"/>
    <x v="5"/>
    <s v="DataOps/DBRE"/>
    <d v="2026-06-01T00:00:00"/>
    <d v="2026-06-30T00:00:00"/>
    <m/>
    <m/>
    <m/>
    <m/>
    <m/>
  </r>
  <r>
    <n v="98"/>
    <s v="Rikan Sahoo"/>
    <s v="rikan.sahoo@intuitive.cloud"/>
    <x v="1"/>
    <s v="Mohammed Shabbir"/>
    <x v="5"/>
    <s v="App + DB Mod"/>
    <d v="2026-06-01T00:00:00"/>
    <d v="2026-06-30T00:00:00"/>
    <m/>
    <m/>
    <m/>
    <m/>
    <m/>
  </r>
  <r>
    <n v="99"/>
    <s v="Rajesh Srinivasan"/>
    <s v="rajesh.srinivasan@intuitive.ai"/>
    <x v="1"/>
    <s v="Mohammed Shabbir"/>
    <x v="5"/>
    <s v="App + DB Mod"/>
    <d v="2026-06-01T00:00:00"/>
    <d v="2026-06-30T00:00:00"/>
    <m/>
    <m/>
    <m/>
    <m/>
    <m/>
  </r>
  <r>
    <n v="100"/>
    <s v="Khyati Sharma"/>
    <s v="khyati.sharma@intuitive.ai"/>
    <x v="1"/>
    <s v="Mohammed Shabbir"/>
    <x v="5"/>
    <s v="App + DB Mod"/>
    <d v="2026-06-01T00:00:00"/>
    <d v="2026-07-09T00:00:00"/>
    <m/>
    <m/>
    <m/>
    <m/>
    <m/>
  </r>
  <r>
    <n v="101"/>
    <s v="Abdul Hameed"/>
    <s v="abdul.hameed@intuitive.ai"/>
    <x v="1"/>
    <s v="Mohammed Shabbir"/>
    <x v="5"/>
    <s v="App + DB Mod"/>
    <d v="2026-06-01T00:00:00"/>
    <d v="2026-06-30T00:00:00"/>
    <m/>
    <m/>
    <m/>
    <m/>
    <m/>
  </r>
  <r>
    <n v="102"/>
    <s v="Rishi Kardani"/>
    <s v="rushi.kardani@intuitive.ai"/>
    <x v="1"/>
    <s v="Mohammed Shabbir"/>
    <x v="5"/>
    <s v="App + DB Mod"/>
    <d v="2026-06-01T00:00:00"/>
    <d v="2026-06-29T00:00:00"/>
    <m/>
    <m/>
    <m/>
    <m/>
    <m/>
  </r>
  <r>
    <n v="103"/>
    <s v="Erumalu Bhaskar"/>
    <s v="erumalu.bhaskar@intuitive.ai"/>
    <x v="0"/>
    <s v="Mohammed Shabbir"/>
    <x v="5"/>
    <s v="App + DB Mod"/>
    <d v="2026-05-18T00:00:00"/>
    <d v="2026-05-29T00:00:00"/>
    <m/>
    <m/>
    <m/>
    <m/>
    <m/>
  </r>
  <r>
    <n v="104"/>
    <s v="Sivapriya Jeganathan"/>
    <s v="sivapriya.jeganathan@intuitive.ai"/>
    <x v="1"/>
    <s v="Mohammed Shabbir"/>
    <x v="5"/>
    <s v="App + DB Mod"/>
    <d v="2026-06-01T00:00:00"/>
    <d v="2026-06-30T00:00:00"/>
    <m/>
    <m/>
    <m/>
    <m/>
    <m/>
  </r>
  <r>
    <n v="105"/>
    <s v="Naga Kiran "/>
    <s v="naga.kiran@intuitive.cloud"/>
    <x v="1"/>
    <s v="Mahendra Bhandari"/>
    <x v="10"/>
    <s v="Data + AI"/>
    <d v="2026-05-21T00:00:00"/>
    <d v="2026-07-14T00:00:00"/>
    <m/>
    <m/>
    <m/>
    <m/>
    <m/>
  </r>
  <r>
    <n v="106"/>
    <s v="Smit Gandhi"/>
    <s v="smit.gandhi@intuitive.ai"/>
    <x v="0"/>
    <s v="Deep Purohit"/>
    <x v="2"/>
    <s v="Data + AI"/>
    <d v="2026-05-11T00:00:00"/>
    <d v="2026-05-27T00:00:00"/>
    <s v="vpztvb39omm5"/>
    <m/>
    <m/>
    <m/>
    <m/>
  </r>
  <r>
    <n v="107"/>
    <s v="Sachit Desai"/>
    <s v="sachit.desai@intuitive.ai"/>
    <x v="0"/>
    <s v="Arindam Sarkar"/>
    <x v="1"/>
    <s v="Cloud + Platform Engineering"/>
    <d v="2026-05-15T00:00:00"/>
    <d v="2026-05-28T00:00:00"/>
    <s v="7s5tpcr49qci"/>
    <m/>
    <m/>
    <m/>
    <m/>
  </r>
  <r>
    <n v="108"/>
    <s v="Amshumanth Sirga"/>
    <s v="amshumanth.sirga@intuitive.ai"/>
    <x v="0"/>
    <s v="Sean Denton"/>
    <x v="1"/>
    <s v="Cloud + Platform Engineering"/>
    <d v="2026-06-01T00:00:00"/>
    <d v="2026-07-12T00:00:00"/>
    <m/>
    <m/>
    <m/>
    <m/>
    <m/>
  </r>
  <r>
    <n v="109"/>
    <s v="Amaranath Nagappa"/>
    <s v="amaranath.nagappa@intuitive.cloud"/>
    <x v="0"/>
    <s v="Peter Turner"/>
    <x v="1"/>
    <s v="Cloud + Platform Engineering"/>
    <d v="2026-05-23T00:00:00"/>
    <d v="2026-06-05T00:00:00"/>
    <s v="o75f7bequ7e3"/>
    <m/>
    <m/>
    <m/>
    <m/>
  </r>
  <r>
    <n v="110"/>
    <s v="Bhaswar Banerjee"/>
    <s v="bhaswar.banerjee@intuitive.ai"/>
    <x v="0"/>
    <s v="Prakash Patil"/>
    <x v="5"/>
    <s v="App + DB Mod"/>
    <d v="2026-05-07T00:00:00"/>
    <d v="2026-05-30T00:00:00"/>
    <s v="5gqagy5b6fr3"/>
    <m/>
    <m/>
    <m/>
    <m/>
  </r>
  <r>
    <n v="111"/>
    <s v="Manan Goradiya "/>
    <s v="manan.goradiya@intuitive.ai"/>
    <x v="0"/>
    <s v="Arindam Sarkar"/>
    <x v="1"/>
    <s v="Cloud + Platform Engineering"/>
    <m/>
    <d v="2026-05-29T00:00:00"/>
    <s v="2cva8crs8nza"/>
    <m/>
    <m/>
    <m/>
    <m/>
  </r>
  <r>
    <n v="112"/>
    <s v="Gaurav Gangwar "/>
    <s v="gaurav.gangwar@intuitive.cloud"/>
    <x v="0"/>
    <s v="David Hammond"/>
    <x v="0"/>
    <s v="Data + AI"/>
    <m/>
    <d v="2026-05-30T00:00:00"/>
    <s v="ijdpjibe3s43"/>
    <m/>
    <m/>
    <m/>
    <m/>
  </r>
  <r>
    <n v="113"/>
    <s v="Hemant Rawat"/>
    <s v="hemant.rawat@intuitive.ai"/>
    <x v="0"/>
    <s v="Mahender Bhandari"/>
    <x v="3"/>
    <s v="Data + AI"/>
    <m/>
    <d v="2026-05-30T00:00:00"/>
    <s v="xtogg8boqbkm"/>
    <m/>
    <m/>
    <m/>
    <m/>
  </r>
  <r>
    <n v="114"/>
    <s v="Shaily Shah"/>
    <s v="shaily.shah@intuitive.cloud"/>
    <x v="0"/>
    <s v="Piyush Jalan"/>
    <x v="1"/>
    <s v="Cloud + Platform Engineering"/>
    <d v="2026-05-24T00:00:00"/>
    <d v="2026-05-31T00:00:00"/>
    <s v="q6ojqkr9ac54"/>
    <m/>
    <m/>
    <m/>
    <m/>
  </r>
  <r>
    <n v="115"/>
    <s v="Sahal Pathan"/>
    <s v="sahal.pathan@intuitive.ai"/>
    <x v="0"/>
    <s v="Bhavesh Shah"/>
    <x v="1"/>
    <s v="Cloud + Platform Engineering"/>
    <d v="2026-05-14T00:00:00"/>
    <d v="2026-05-24T00:00:00"/>
    <s v="xoss9z6tqasm"/>
    <m/>
    <m/>
    <m/>
    <m/>
  </r>
  <r>
    <n v="116"/>
    <s v="Jenish Kotecha"/>
    <s v="jenish.kotecha@intuitive.ai"/>
    <x v="0"/>
    <s v="Vishal Kanade"/>
    <x v="1"/>
    <s v="Cloud + Platform Engineering"/>
    <d v="2026-05-20T00:00:00"/>
    <d v="2026-05-30T00:00:00"/>
    <s v="hmo8hjju5vax"/>
    <m/>
    <m/>
    <m/>
    <m/>
  </r>
  <r>
    <n v="117"/>
    <s v="Dhruv Maradiya"/>
    <s v="dhruv.maradiya@intuitive.ai"/>
    <x v="0"/>
    <s v="Bhavesh Shah"/>
    <x v="1"/>
    <s v="Cloud + Platform Engineering"/>
    <d v="2026-05-14T00:00:00"/>
    <d v="2026-05-31T00:00:00"/>
    <s v="zpceccyt8fne"/>
    <m/>
    <m/>
    <m/>
    <m/>
  </r>
  <r>
    <n v="118"/>
    <s v="Ajay Giri"/>
    <s v="ajay.giri@intuitive.cloud"/>
    <x v="0"/>
    <s v="Honey Agarwal"/>
    <x v="1"/>
    <s v="Cloud + Platform Engineering"/>
    <m/>
    <d v="2026-05-28T00:00:00"/>
    <s v="ngyr6knifshn"/>
    <m/>
    <m/>
    <m/>
    <m/>
  </r>
  <r>
    <n v="119"/>
    <s v="Rohit walia"/>
    <s v="rohit.walia@intuitive.cloud"/>
    <x v="0"/>
    <s v="Peter Turner"/>
    <x v="1"/>
    <s v="Cloud + Platform Engineering"/>
    <d v="2026-05-25T00:00:00"/>
    <d v="2026-05-29T00:00:00"/>
    <s v="tdnmbdhfnw3d"/>
    <m/>
    <m/>
    <m/>
    <m/>
  </r>
  <r>
    <n v="120"/>
    <s v="Mohammed Abdul Muqtadir"/>
    <s v="mohammed.muqtadir@intuitive.cloud"/>
    <x v="1"/>
    <s v="Mohammed Yakhoob"/>
    <x v="8"/>
    <s v="PMO"/>
    <d v="2026-06-02T00:00:00"/>
    <m/>
    <m/>
    <m/>
    <m/>
    <m/>
    <m/>
  </r>
  <r>
    <n v="121"/>
    <s v="Abdul Haleem Mohammed"/>
    <s v="abdul.haleem@intuitive.ai"/>
    <x v="2"/>
    <s v="David Hammond"/>
    <x v="0"/>
    <s v="Data + AI"/>
    <d v="2026-06-08T00:00:00"/>
    <d v="2026-06-30T00:00:00"/>
    <m/>
    <m/>
    <m/>
    <m/>
    <m/>
  </r>
  <r>
    <n v="122"/>
    <s v="Jay Shah"/>
    <s v="jay.shah@intuitive.cloud"/>
    <x v="0"/>
    <s v="Saksham Baru"/>
    <x v="1"/>
    <s v="Cloud + Platform Engineering"/>
    <d v="2026-05-10T00:00:00"/>
    <d v="2026-05-31T00:00:00"/>
    <s v="rci2b7vduuyn"/>
    <m/>
    <m/>
    <m/>
    <m/>
  </r>
  <r>
    <n v="123"/>
    <s v="Shobhana Iyer"/>
    <s v="shobhana.iyer@intuitive.ai"/>
    <x v="2"/>
    <s v="Umamaheswari Challa"/>
    <x v="10"/>
    <s v="Data + AI"/>
    <d v="2026-05-10T00:00:00"/>
    <d v="2026-05-31T00:00:00"/>
    <m/>
    <m/>
    <m/>
    <m/>
    <m/>
  </r>
  <r>
    <n v="124"/>
    <s v="Syed Adnan Ali"/>
    <s v="syed.adnan@intuitive.ai"/>
    <x v="0"/>
    <s v="Shailendra Jha"/>
    <x v="7"/>
    <s v="NetSec + SDx"/>
    <d v="2026-05-13T00:00:00"/>
    <d v="2026-05-29T00:00:00"/>
    <s v=" ta76yayqtssa"/>
    <m/>
    <m/>
    <m/>
    <m/>
  </r>
  <r>
    <n v="125"/>
    <s v="Mohammed Ali Syed"/>
    <s v="mohammed.ali@intuitive.cloud"/>
    <x v="0"/>
    <s v="Dhairya Shah"/>
    <x v="6"/>
    <s v="Network Engineering"/>
    <m/>
    <d v="2026-05-25T00:00:00"/>
    <s v="o89dg8ju29yz"/>
    <m/>
    <m/>
    <m/>
    <m/>
  </r>
  <r>
    <n v="126"/>
    <s v="Vasu Bhimani"/>
    <s v="vasu.bhimani@intuitive.ai"/>
    <x v="0"/>
    <s v="Bhavesh Shah"/>
    <x v="1"/>
    <s v="Cloud + Platform Engineering"/>
    <d v="2026-05-14T00:00:00"/>
    <d v="2026-05-31T00:00:00"/>
    <s v="kmsky2r8twrh"/>
    <m/>
    <m/>
    <m/>
    <m/>
  </r>
  <r>
    <n v="127"/>
    <s v="Het Shah"/>
    <s v="het.shah@intuitive.ai"/>
    <x v="0"/>
    <s v="Bhavesh Shah"/>
    <x v="1"/>
    <s v="Cloud + Platform Engineering"/>
    <d v="2026-05-28T00:00:00"/>
    <d v="2026-06-04T00:00:00"/>
    <s v="vtmo6rxxbmc8"/>
    <m/>
    <m/>
    <m/>
    <m/>
  </r>
  <r>
    <n v="128"/>
    <s v="Rohan Kumbhare"/>
    <s v="rohan.kumbhare@intuitive.cloud"/>
    <x v="0"/>
    <s v="Bharath Babbur"/>
    <x v="9"/>
    <s v="NetSec + SDx"/>
    <d v="2026-05-06T00:00:00"/>
    <d v="2026-06-04T00:00:00"/>
    <s v="fegw8ge7thc4"/>
    <m/>
    <m/>
    <m/>
    <m/>
  </r>
  <r>
    <n v="129"/>
    <s v="Venkateshbabu Premnath"/>
    <s v="venkateshbabu.premnath@intuitive.ai"/>
    <x v="2"/>
    <s v="Nitin Sharma"/>
    <x v="7"/>
    <s v="NetSec + SDx"/>
    <d v="2026-06-02T00:00:00"/>
    <d v="2026-06-09T00:00:00"/>
    <m/>
    <m/>
    <m/>
    <m/>
    <m/>
  </r>
  <r>
    <n v="130"/>
    <s v="Darshan Rajyaguru"/>
    <s v="darshan.rajyaguru@intuitive.ai"/>
    <x v="0"/>
    <s v="Honey Agarwal"/>
    <x v="1"/>
    <s v="Cloud + Platform Engineering"/>
    <d v="2026-05-22T00:00:00"/>
    <d v="2026-05-31T00:00:00"/>
    <s v="56q4xyw2ua45"/>
    <m/>
    <m/>
    <m/>
    <m/>
  </r>
  <r>
    <n v="131"/>
    <s v="Qing Vincent Yin"/>
    <s v="vincent.yin@intuitive.cloud"/>
    <x v="0"/>
    <s v="Sriram Mani"/>
    <x v="1"/>
    <s v="Cloud &amp; Platform Engineering"/>
    <d v="2026-05-15T00:00:00"/>
    <d v="2026-06-13T00:00:00"/>
    <s v="b2rjj83ka8qz"/>
    <m/>
    <m/>
    <m/>
    <m/>
  </r>
  <r>
    <n v="132"/>
    <s v=" Vipin Yadav"/>
    <s v="vipin.yadav@intuitive.ai"/>
    <x v="0"/>
    <s v="Honey Agarwal"/>
    <x v="12"/>
    <s v="CMS"/>
    <d v="2026-05-24T00:00:00"/>
    <d v="2026-06-13T00:00:00"/>
    <s v="jejca2u5as8y"/>
    <m/>
    <m/>
    <m/>
    <m/>
  </r>
  <r>
    <n v="133"/>
    <s v="Honey Agarwal "/>
    <s v="honey.agarwal@intuitive.ai"/>
    <x v="0"/>
    <s v="Bhavesh Shah"/>
    <x v="12"/>
    <s v="CMS"/>
    <d v="2026-05-24T00:00:00"/>
    <d v="2026-06-16T00:00:00"/>
    <s v="dm3xeric4m2n"/>
    <m/>
    <m/>
    <m/>
    <m/>
  </r>
  <r>
    <n v="134"/>
    <s v="Anoosha Kanungo"/>
    <s v="anoosha.kanungo@intuitive.cloud"/>
    <x v="0"/>
    <s v="Ahmed Ali"/>
    <x v="4"/>
    <s v="Cybersecurity"/>
    <d v="2026-05-25T00:00:00"/>
    <d v="2026-06-29T00:00:00"/>
    <s v="55493d9a-45ec-4c5e-b66b-886be2f1b19e."/>
    <m/>
    <m/>
    <m/>
    <m/>
  </r>
  <r>
    <n v="135"/>
    <s v="Mansi Solanki"/>
    <s v="mansi.solanki@intuitive.ai"/>
    <x v="0"/>
    <s v="Mohammed Yassin Sheikh Ali"/>
    <x v="4"/>
    <s v="NetSec"/>
    <d v="2026-04-06T00:00:00"/>
    <d v="2026-06-17T00:00:00"/>
    <m/>
    <m/>
    <m/>
    <m/>
    <m/>
  </r>
  <r>
    <n v="136"/>
    <s v="Veerraju Gopalli"/>
    <s v="veerraju.gopalli@intuitive.cloud"/>
    <x v="1"/>
    <s v="Ahmed Ali"/>
    <x v="4"/>
    <s v="NetSec + SDx"/>
    <d v="2026-06-10T00:00:00"/>
    <m/>
    <m/>
    <m/>
    <m/>
    <m/>
    <m/>
  </r>
  <r>
    <n v="137"/>
    <s v="Tanvi Sontakke"/>
    <s v="tanvi.sontakke@intuitive.ai"/>
    <x v="0"/>
    <s v="Ahmed Ali"/>
    <x v="4"/>
    <s v="Cybersecurity"/>
    <d v="2026-06-20T00:00:00"/>
    <d v="2026-06-29T00:00:00"/>
    <m/>
    <m/>
    <m/>
    <m/>
    <m/>
  </r>
  <r>
    <n v="138"/>
    <s v="Milind Dhake"/>
    <s v="milind.dhake@intuitive.cloud"/>
    <x v="1"/>
    <s v="Deep Purohit"/>
    <x v="5"/>
    <s v="Data + AI"/>
    <d v="2026-05-15T00:00:00"/>
    <d v="2026-07-11T00:00:00"/>
    <m/>
    <m/>
    <m/>
    <m/>
    <m/>
  </r>
  <r>
    <n v="139"/>
    <s v="Jitendra Rautela"/>
    <s v="jitendra.rautela@intuitive.ai"/>
    <x v="2"/>
    <s v="Mukesh Kumar"/>
    <x v="7"/>
    <s v="NetSec+SDX"/>
    <d v="2026-06-10T00:00:00"/>
    <m/>
    <m/>
    <m/>
    <m/>
    <m/>
    <m/>
  </r>
  <r>
    <n v="140"/>
    <s v="Vikas Yadandla"/>
    <s v="vikas.yadandla@intuitive.ai"/>
    <x v="0"/>
    <s v="Raj Srivastava"/>
    <x v="5"/>
    <s v="App + DB Mod"/>
    <d v="2026-01-06T00:00:00"/>
    <d v="2026-06-27T00:00:00"/>
    <s v="4111b41f-74b0-4e59-9ee1-2874c8dbbd5b"/>
    <m/>
    <m/>
    <m/>
    <m/>
  </r>
  <r>
    <n v="141"/>
    <s v="Amrith Samuel"/>
    <s v="amrith.samuel@intuitive.ai"/>
    <x v="0"/>
    <s v="Pritam Dodeja"/>
    <x v="10"/>
    <s v="Data + AI"/>
    <d v="2026-05-18T00:00:00"/>
    <d v="2026-06-01T00:00:00"/>
    <m/>
    <m/>
    <m/>
    <m/>
    <m/>
  </r>
  <r>
    <n v="142"/>
    <s v="RICHA SHUKLA"/>
    <s v="richa.shukla@intuitive.ai"/>
    <x v="2"/>
    <s v="Anand Akurathi"/>
    <x v="5"/>
    <s v="App + DB Mod"/>
    <d v="2026-05-15T00:00:00"/>
    <d v="2026-05-29T00:00:00"/>
    <m/>
    <m/>
    <m/>
    <m/>
    <m/>
  </r>
  <r>
    <n v="143"/>
    <s v="Ajit Punchhi"/>
    <s v="ajit.punchhi@intuitive.ai"/>
    <x v="1"/>
    <s v="Bhagesh Puri"/>
    <x v="1"/>
    <s v="Cloud &amp; Platform Engineering"/>
    <d v="2026-06-26T00:00:00"/>
    <d v="2026-07-10T00:00:00"/>
    <m/>
    <m/>
    <m/>
    <m/>
    <m/>
  </r>
  <r>
    <n v="144"/>
    <s v="Tisha Patel"/>
    <s v="tisha.patel@intuitive.ai"/>
    <x v="0"/>
    <s v="Honey Agarwal"/>
    <x v="1"/>
    <s v="Cloud &amp; Platform Engineering"/>
    <d v="2026-05-13T00:00:00"/>
    <d v="2026-05-28T00:00:00"/>
    <m/>
    <m/>
    <m/>
    <m/>
    <m/>
  </r>
  <r>
    <n v="145"/>
    <s v="Dev Padaliya"/>
    <s v="dev.padaliya@intuitive.ai"/>
    <x v="0"/>
    <s v="Sajid Ali"/>
    <x v="4"/>
    <s v="Cybersecurity"/>
    <d v="2026-05-22T00:00:00"/>
    <d v="2026-06-18T00:00:00"/>
    <s v="7813258b-3e8d-47a6-b909-fede75233f42"/>
    <m/>
    <m/>
    <m/>
    <m/>
  </r>
  <r>
    <n v="146"/>
    <s v="Jigarkumar Bhoye"/>
    <s v="jigarkumar.bhoye@intuitive.ai"/>
    <x v="0"/>
    <s v="Bhavesh Shah"/>
    <x v="1"/>
    <s v="Cloud &amp; Platform Engineering"/>
    <d v="2026-05-08T00:00:00"/>
    <d v="2026-05-27T00:00:00"/>
    <s v="07030195-9608-4243-95ba-ecd0a60ec581"/>
    <m/>
    <m/>
    <m/>
    <s v="Under review by Anthropic Support for Incident #215347"/>
  </r>
  <r>
    <n v="147"/>
    <s v="Sahil Garg"/>
    <s v="sahil.garg@intuitive.ai"/>
    <x v="1"/>
    <s v="Anand Akurathi"/>
    <x v="5"/>
    <s v="App + DB Mod"/>
    <d v="2026-05-13T00:00:00"/>
    <d v="2026-06-28T00:00:00"/>
    <m/>
    <m/>
    <m/>
    <m/>
    <m/>
  </r>
  <r>
    <n v="148"/>
    <s v="Vamshi Krishna Raj"/>
    <s v="vamshikrishna.raj@intuitive.ai"/>
    <x v="1"/>
    <s v="Vivek Mohan"/>
    <x v="10"/>
    <s v="Data + AI"/>
    <d v="2026-06-12T00:00:00"/>
    <d v="2026-06-28T00:00:00"/>
    <m/>
    <m/>
    <m/>
    <m/>
    <m/>
  </r>
  <r>
    <n v="149"/>
    <s v="Clifford Bressette"/>
    <s v="clifford.bressette@intuitive.cloud"/>
    <x v="1"/>
    <s v="Kiran Kumar"/>
    <x v="4"/>
    <s v="Cybersecurity"/>
    <d v="2026-01-06T00:00:00"/>
    <m/>
    <m/>
    <m/>
    <m/>
    <m/>
    <m/>
  </r>
  <r>
    <n v="150"/>
    <s v="Zaid Siddiqui"/>
    <s v="zaid.siddiqui@intuitive.cloud"/>
    <x v="0"/>
    <s v="Deepak Shekhar"/>
    <x v="7"/>
    <s v="NetSec + SDx"/>
    <d v="2026-06-16T00:00:00"/>
    <d v="2026-07-13T00:00:00"/>
    <m/>
    <m/>
    <m/>
    <m/>
    <m/>
  </r>
  <r>
    <n v="151"/>
    <s v="Poojan Soni"/>
    <s v="poojan.soni@intuitive.ai"/>
    <x v="0"/>
    <s v="Bhavesh Shah"/>
    <x v="12"/>
    <s v="Cloud &amp; Platform Engineering"/>
    <d v="2026-05-15T00:00:00"/>
    <d v="2026-06-29T00:00:00"/>
    <m/>
    <m/>
    <m/>
    <m/>
    <m/>
  </r>
  <r>
    <n v="152"/>
    <s v="Hiren Siddhpura"/>
    <s v="hiren.siddhpura@intuitive.cloud"/>
    <x v="0"/>
    <s v="Nitin Sharma"/>
    <x v="7"/>
    <s v="NetSec + SDx"/>
    <d v="2026-06-10T00:00:00"/>
    <d v="2026-06-27T00:00:00"/>
    <m/>
    <m/>
    <m/>
    <m/>
    <m/>
  </r>
  <r>
    <n v="153"/>
    <s v="Garret Fernandez"/>
    <s v="garret.fernandez@intuitive.ai"/>
    <x v="0"/>
    <s v="Vivek Mohan"/>
    <x v="10"/>
    <s v="Data + AI"/>
    <d v="2026-05-23T00:00:00"/>
    <m/>
    <s v="bc2b46ab-a9e7-4c2a-a342-3f4ab39e3cd5"/>
    <m/>
    <m/>
    <m/>
    <m/>
  </r>
  <r>
    <n v="154"/>
    <s v="Harsh Kharwar"/>
    <s v="harsh.kharwar@intuitive.ai"/>
    <x v="1"/>
    <s v="Vivek Mohan"/>
    <x v="10"/>
    <s v="Cloud + Platform Engineering"/>
    <d v="2026-05-26T00:00:00"/>
    <m/>
    <m/>
    <m/>
    <m/>
    <m/>
    <m/>
  </r>
  <r>
    <n v="155"/>
    <s v="Anurag Kapatia"/>
    <s v="anurag.kapatia@intuitive.cloud"/>
    <x v="1"/>
    <s v="David Hammond"/>
    <x v="0"/>
    <s v="Data + AI"/>
    <d v="2026-01-06T00:00:00"/>
    <m/>
    <m/>
    <m/>
    <m/>
    <m/>
    <m/>
  </r>
  <r>
    <n v="156"/>
    <s v="Amit Singh"/>
    <s v="Amit.Singh@Intuitive.AI"/>
    <x v="1"/>
    <s v="David Hammond"/>
    <x v="0"/>
    <s v="Data + AI"/>
    <m/>
    <m/>
    <m/>
    <m/>
    <m/>
    <m/>
    <m/>
  </r>
  <r>
    <n v="157"/>
    <s v="Yash Jain"/>
    <s v="yash.jain@intuitive.ai"/>
    <x v="1"/>
    <s v="David Hammond"/>
    <x v="0"/>
    <s v="Data + AI"/>
    <m/>
    <m/>
    <m/>
    <m/>
    <m/>
    <m/>
    <m/>
  </r>
  <r>
    <n v="158"/>
    <s v="Jatin Sharma"/>
    <s v="jatin.sharma@intuitive.ai"/>
    <x v="1"/>
    <s v="David Hammond"/>
    <x v="0"/>
    <s v="Data + AI"/>
    <m/>
    <m/>
    <m/>
    <m/>
    <m/>
    <m/>
    <m/>
  </r>
  <r>
    <n v="159"/>
    <s v="Ashray Dhar"/>
    <s v="ashray.dhar@intuitive.ai"/>
    <x v="1"/>
    <s v="David Hammond"/>
    <x v="0"/>
    <s v="Data + AI"/>
    <m/>
    <m/>
    <m/>
    <m/>
    <m/>
    <m/>
    <m/>
  </r>
  <r>
    <n v="160"/>
    <s v="Chandraj Maurya"/>
    <s v="chandraj.maurya@intuitive.ai"/>
    <x v="1"/>
    <s v="Deepak Ahlawat"/>
    <x v="5"/>
    <s v="App + DB Mod"/>
    <d v="2026-05-24T00:00:00"/>
    <m/>
    <m/>
    <m/>
    <m/>
    <m/>
    <m/>
  </r>
  <r>
    <n v="161"/>
    <s v="Safir Ahamed"/>
    <s v="safir.ahamed@intuitive.ai"/>
    <x v="0"/>
    <s v="Barath Arivazhagan"/>
    <x v="11"/>
    <s v="Cloud &amp; Platform Engineering"/>
    <d v="2026-06-19T00:00:00"/>
    <d v="2026-07-20T00:00:00"/>
    <m/>
    <m/>
    <m/>
    <m/>
    <m/>
  </r>
  <r>
    <n v="162"/>
    <s v="Abhilash kaundal"/>
    <s v="abhilash.kaundal@intuitive.ai"/>
    <x v="2"/>
    <s v="Umamaheswari Challa"/>
    <x v="10"/>
    <s v="Data + AI"/>
    <d v="2026-05-30T00:00:00"/>
    <d v="2026-06-14T00:00:00"/>
    <m/>
    <m/>
    <m/>
    <m/>
    <m/>
  </r>
  <r>
    <n v="163"/>
    <s v="Rathin Bhardwaj"/>
    <s v="rathin.bhardwaj@intuitive.ai"/>
    <x v="0"/>
    <s v="Sriram Mani"/>
    <x v="1"/>
    <s v="Cloud &amp; Platform Engineering"/>
    <d v="2026-05-29T00:00:00"/>
    <m/>
    <m/>
    <m/>
    <m/>
    <m/>
    <m/>
  </r>
  <r>
    <n v="164"/>
    <s v="Vineet Nair"/>
    <s v="vineet.nair@intuitive.cloud"/>
    <x v="0"/>
    <s v="Abilash Sivakumar"/>
    <x v="1"/>
    <s v="Cloud &amp; Platform Engineering"/>
    <d v="2026-06-16T00:00:00"/>
    <d v="2026-06-24T00:00:00"/>
    <m/>
    <m/>
    <m/>
    <m/>
    <m/>
  </r>
  <r>
    <n v="165"/>
    <s v="Malhar Prajapati"/>
    <s v="malhar.prajapati@intuitive.ai"/>
    <x v="0"/>
    <s v="Vivek Mohan"/>
    <x v="10"/>
    <s v="Data + AI"/>
    <d v="2026-06-15T00:00:00"/>
    <d v="2026-07-18T00:00:00"/>
    <s v="cff8c789-8df8-46fa-b5b7-9e1644217ce0"/>
    <m/>
    <m/>
    <m/>
    <m/>
  </r>
  <r>
    <n v="166"/>
    <s v="pravin bhande"/>
    <s v="pravin.bhande@intuitive.cloud"/>
    <x v="1"/>
    <s v="Sriram Mani"/>
    <x v="1"/>
    <s v="Cloud &amp; Platform Engineering"/>
    <d v="2026-05-25T00:00:00"/>
    <d v="2026-06-30T00:00:00"/>
    <m/>
    <m/>
    <m/>
    <m/>
    <m/>
  </r>
  <r>
    <n v="167"/>
    <s v="Vishal Mehta"/>
    <s v="vishal.mehta@intuitive.ai"/>
    <x v="0"/>
    <s v="Vivek Mohan"/>
    <x v="10"/>
    <s v="Data + AI"/>
    <d v="2026-06-17T00:00:00"/>
    <m/>
    <m/>
    <m/>
    <m/>
    <m/>
    <m/>
  </r>
  <r>
    <n v="168"/>
    <s v="Lucky La Torre"/>
    <s v="lucky.torre@intuitive.ai"/>
    <x v="1"/>
    <s v="Sriram Mani"/>
    <x v="1"/>
    <s v="Cloud &amp; Platform Engineering"/>
    <d v="2026-05-29T00:00:00"/>
    <m/>
    <m/>
    <m/>
    <m/>
    <m/>
    <m/>
  </r>
  <r>
    <n v="169"/>
    <s v="Suyash Srivastava"/>
    <s v="suyash.srivastava@intuitive.ai"/>
    <x v="0"/>
    <s v="Bhavesh Shah"/>
    <x v="5"/>
    <s v="App + DB Mod"/>
    <d v="2026-06-15T00:00:00"/>
    <m/>
    <m/>
    <m/>
    <m/>
    <m/>
    <m/>
  </r>
  <r>
    <n v="170"/>
    <s v="Dr Rakesh R PhD"/>
    <s v="rakesh.r@intuitive.cloud"/>
    <x v="0"/>
    <s v="Mahender Bhandari"/>
    <x v="10"/>
    <s v="Data + AI"/>
    <m/>
    <m/>
    <m/>
    <m/>
    <m/>
    <m/>
    <m/>
  </r>
  <r>
    <n v="171"/>
    <s v="Deepak Ahlawat"/>
    <s v="deepak.ahlawat@intuitive.cloud"/>
    <x v="1"/>
    <s v="Prakash Patil"/>
    <x v="5"/>
    <s v="App + DB Mod"/>
    <d v="2026-01-06T00:00:00"/>
    <d v="2026-06-25T00:00:00"/>
    <m/>
    <m/>
    <m/>
    <m/>
    <m/>
  </r>
  <r>
    <n v="172"/>
    <s v="Syed Mustafa Hasan"/>
    <s v="mustafa.hasan@intuitive.cloud"/>
    <x v="0"/>
    <s v="Sean Denton"/>
    <x v="13"/>
    <s v="Cloud &amp; Platform Engineering"/>
    <d v="2026-06-20T00:00:00"/>
    <d v="2026-06-27T00:00:00"/>
    <s v="696cca81-9ea2-4d8c-935b-37b9183946fd"/>
    <m/>
    <m/>
    <m/>
    <m/>
  </r>
  <r>
    <n v="173"/>
    <s v="Shriram Narendra Sabade"/>
    <s v="shriram.sabade@intuitive.ai"/>
    <x v="0"/>
    <s v="Bhavesh Shah"/>
    <x v="5"/>
    <s v="App + DB Mod"/>
    <d v="2026-06-10T00:00:00"/>
    <m/>
    <m/>
    <m/>
    <m/>
    <m/>
    <m/>
  </r>
  <r>
    <n v="174"/>
    <s v="Hemanth Reddy"/>
    <s v="hemanth.reddy@intuitive.ai"/>
    <x v="0"/>
    <s v="Honey Agarwal"/>
    <x v="12"/>
    <s v="CMS"/>
    <d v="2026-05-20T00:00:00"/>
    <d v="2026-07-04T00:00:00"/>
    <s v="c27e47af-4a8b-47be-8e24-8396ef9ce0da "/>
    <m/>
    <m/>
    <m/>
    <m/>
  </r>
  <r>
    <n v="175"/>
    <s v="Ajitesh Sudan"/>
    <s v="ajitesh.sudan@intuitive.cloud"/>
    <x v="0"/>
    <s v="Honey Agarwal"/>
    <x v="1"/>
    <s v="Cloud &amp; Platform Engineering"/>
    <d v="2026-06-14T00:00:00"/>
    <d v="2026-06-29T00:00:00"/>
    <s v="869518ad-d3ca-48c0-aa74-e722d423cce7"/>
    <m/>
    <m/>
    <m/>
    <m/>
  </r>
  <r>
    <n v="176"/>
    <s v="Nishita Ardeshna"/>
    <s v="nishita.ardeshna@intuitive.ai"/>
    <x v="2"/>
    <s v="Honey Agarwal"/>
    <x v="1"/>
    <s v="Cloud &amp; Platform Engineering"/>
    <d v="2026-05-24T00:00:00"/>
    <d v="2026-06-24T00:00:00"/>
    <m/>
    <m/>
    <m/>
    <m/>
    <m/>
  </r>
  <r>
    <n v="177"/>
    <s v="Aryan Vasudev"/>
    <s v="aryan.vasudev@intuitive.ai"/>
    <x v="0"/>
    <s v="Honey Agarwal"/>
    <x v="12"/>
    <s v="Cloud &amp; Platform Engineering"/>
    <d v="2026-06-12T00:00:00"/>
    <d v="2026-06-24T00:00:00"/>
    <s v="f9b920d6-8df4-41ac-ab53-e0703e5556fb"/>
    <m/>
    <m/>
    <m/>
    <m/>
  </r>
  <r>
    <n v="178"/>
    <s v="Kumod Thakre"/>
    <s v="kumod.thakre@intuitive.cloud"/>
    <x v="0"/>
    <s v="Bharath Babbur"/>
    <x v="9"/>
    <s v="NetSec + SDx"/>
    <d v="2026-05-12T00:00:00"/>
    <d v="2026-06-28T00:00:00"/>
    <s v="783b803a-14b1-44ef-853d-da8a900f01a4"/>
    <m/>
    <m/>
    <m/>
    <m/>
  </r>
  <r>
    <n v="179"/>
    <s v="Abhijeet Patil"/>
    <s v="abhijeet.patil@intuitive.ai"/>
    <x v="0"/>
    <s v="Honey Agarwal"/>
    <x v="12"/>
    <s v="CMS"/>
    <d v="2026-06-01T00:00:00"/>
    <d v="2026-06-26T00:00:00"/>
    <m/>
    <m/>
    <m/>
    <m/>
    <m/>
  </r>
  <r>
    <n v="180"/>
    <s v="Ibrahim Maoodhah"/>
    <s v="ibrahim.maoodhah@intuitive.cloud"/>
    <x v="1"/>
    <s v="Yassin Ali"/>
    <x v="4"/>
    <s v="Cybersecurity"/>
    <d v="2026-06-01T00:00:00"/>
    <m/>
    <m/>
    <m/>
    <m/>
    <m/>
    <m/>
  </r>
  <r>
    <n v="181"/>
    <s v="Aditya Desai"/>
    <s v="aditya.desai@intuitive.ai"/>
    <x v="0"/>
    <s v="Bhavesh Shah"/>
    <x v="5"/>
    <s v="App + DB Mod"/>
    <d v="2026-06-09T00:00:00"/>
    <m/>
    <m/>
    <m/>
    <m/>
    <m/>
    <m/>
  </r>
  <r>
    <n v="182"/>
    <s v="Pundrik Shayta"/>
    <s v="pundrik.shayta@intuitive.ai"/>
    <x v="0"/>
    <s v="Bhavesh Shah"/>
    <x v="5"/>
    <s v="App + DB Mod"/>
    <d v="2026-06-08T00:00:00"/>
    <m/>
    <s v="na99mvicy7c2"/>
    <m/>
    <m/>
    <m/>
    <m/>
  </r>
  <r>
    <n v="183"/>
    <s v="Thamtam Pruthvi"/>
    <s v="thamtam.pruthvi@intuitive.ai"/>
    <x v="1"/>
    <s v="Honey Agarwal"/>
    <x v="12"/>
    <s v="CMS"/>
    <s v="21/05/2026"/>
    <d v="2026-07-12T00:00:00"/>
    <m/>
    <m/>
    <m/>
    <m/>
    <m/>
  </r>
  <r>
    <n v="184"/>
    <s v="Vraj Modi"/>
    <s v="vraj.modi@intuitive.ai"/>
    <x v="0"/>
    <s v="Anand Akurathi"/>
    <x v="5"/>
    <s v="App + DB Mod"/>
    <d v="2026-12-06T00:00:00"/>
    <s v="29/06/2026"/>
    <s v="046a7a62-3080-48b8-a35a-d750a43a411b"/>
    <m/>
    <m/>
    <m/>
    <m/>
  </r>
  <r>
    <n v="185"/>
    <s v="Kenil Sarang"/>
    <s v="kenil.sarang@intuitive.ai"/>
    <x v="0"/>
    <s v="Bhavesh Shah"/>
    <x v="5"/>
    <s v="App + DB Mod"/>
    <s v="17/06/2026"/>
    <m/>
    <m/>
    <m/>
    <m/>
    <m/>
    <m/>
  </r>
  <r>
    <n v="186"/>
    <s v="Shourya Nahar"/>
    <s v="shourya.nahar@intuitive.ai"/>
    <x v="0"/>
    <s v="Bhavesh Shah"/>
    <x v="5"/>
    <s v="App + DB Mod"/>
    <s v="16/06/2026"/>
    <m/>
    <m/>
    <m/>
    <m/>
    <m/>
    <m/>
  </r>
  <r>
    <n v="187"/>
    <s v="Mahesh Sutar"/>
    <s v="mahesh.sutar@intuitive.ai"/>
    <x v="0"/>
    <s v="Bhavesh Shah"/>
    <x v="5"/>
    <s v="App + DB Mod"/>
    <s v="18/06/2026"/>
    <s v="23/06/2026"/>
    <m/>
    <m/>
    <m/>
    <m/>
    <m/>
  </r>
  <r>
    <n v="188"/>
    <s v="PRATIK VIJAY SARODE"/>
    <s v="pratik.sarode@intuitive.cloud"/>
    <x v="1"/>
    <s v="Nitin Sharma"/>
    <x v="7"/>
    <s v="NetSec + SDx"/>
    <s v="13/06/2026"/>
    <d v="2026-06-30T00:00:00"/>
    <m/>
    <m/>
    <m/>
    <m/>
    <m/>
  </r>
  <r>
    <n v="189"/>
    <s v="Vishnu Burkhawala"/>
    <s v="vishnu.burkhawala@intuitive.ai"/>
    <x v="0"/>
    <s v="Anand Akurathi"/>
    <x v="5"/>
    <s v="App + DB Mod"/>
    <s v="13/06/2026"/>
    <s v="29/062026"/>
    <s v="8d92817d-b84c-4d38-bc6c-dd2f865e3313"/>
    <m/>
    <m/>
    <m/>
    <m/>
  </r>
  <r>
    <n v="190"/>
    <s v="Sumit Mishra"/>
    <s v="sumit.mishra@intuitive.ai"/>
    <x v="0"/>
    <s v="Anand Akurathi"/>
    <x v="5"/>
    <s v="App + DB Mod"/>
    <s v="13/06/2026"/>
    <s v="29/062026"/>
    <s v="982ef9b0-78ba-4722-8e38-55c08f229b09"/>
    <m/>
    <m/>
    <m/>
    <m/>
  </r>
  <r>
    <n v="191"/>
    <s v="Girish Venkata Reddy"/>
    <s v="girish.venkatareddy@intuitive.ai"/>
    <x v="2"/>
    <s v="Sriram Mani"/>
    <x v="1"/>
    <s v="Cloud &amp; Platform Engineering"/>
    <s v="18/06/2026"/>
    <s v="28/06/2026"/>
    <m/>
    <m/>
    <m/>
    <m/>
    <m/>
  </r>
  <r>
    <n v="192"/>
    <s v="Shreya Joshi "/>
    <s v="shreya.joshi@intuitive.ai"/>
    <x v="0"/>
    <s v="Prakash Patil"/>
    <x v="5"/>
    <s v="App + DB Mod"/>
    <d v="2026-01-06T00:00:00"/>
    <d v="2026-07-12T00:00:00"/>
    <s v="8726cce3-74c2-4a47-b490-7f2286837bba"/>
    <m/>
    <m/>
    <m/>
    <m/>
  </r>
  <r>
    <n v="193"/>
    <s v="Sohail khan "/>
    <s v="sohail.khan@intuitive.cloud"/>
    <x v="0"/>
    <s v="Yassin Ali"/>
    <x v="4"/>
    <s v="NetSec + SDx"/>
    <s v="25/05/2026"/>
    <s v="16/06/2026"/>
    <s v="88fq38656i3g"/>
    <m/>
    <m/>
    <m/>
    <m/>
  </r>
  <r>
    <n v="194"/>
    <s v="Amit Kumar"/>
    <s v="amit.kumar@intuitive.cloud"/>
    <x v="1"/>
    <s v="Peter Turner"/>
    <x v="1"/>
    <s v="Cloud &amp; Platform Engineering"/>
    <s v="22/05/2026"/>
    <d v="2026-06-29T00:00:00"/>
    <m/>
    <m/>
    <m/>
    <m/>
    <m/>
  </r>
  <r>
    <n v="195"/>
    <s v="Deepak N P"/>
    <s v="deepak.np@intuitive.ai"/>
    <x v="0"/>
    <s v="Nitin Sharma"/>
    <x v="7"/>
    <s v="NetSec + SDx"/>
    <d v="2026-01-06T00:00:00"/>
    <m/>
    <m/>
    <m/>
    <m/>
    <m/>
    <m/>
  </r>
  <r>
    <n v="196"/>
    <s v=" Pratyusha Kongara"/>
    <s v="pratyusha.kongara@intuitive.cloud"/>
    <x v="1"/>
    <s v="Shailendra Jha"/>
    <x v="14"/>
    <m/>
    <d v="2026-10-06T00:00:00"/>
    <m/>
    <m/>
    <m/>
    <m/>
    <m/>
    <m/>
  </r>
  <r>
    <n v="197"/>
    <s v="Arvind Raj"/>
    <s v="arvind.raj@intuitive.ai"/>
    <x v="2"/>
    <s v="Honey Agarwal"/>
    <x v="12"/>
    <s v="CMS"/>
    <m/>
    <d v="2026-06-28T00:00:00"/>
    <m/>
    <m/>
    <m/>
    <m/>
    <m/>
  </r>
  <r>
    <n v="198"/>
    <s v="Tony Villiams Boppuri"/>
    <s v="tony.boppuri@intuitive.cloud"/>
    <x v="1"/>
    <s v="Peter Turner"/>
    <x v="1"/>
    <s v="Cloud &amp; Platform Engineering"/>
    <s v="22/06/2026"/>
    <m/>
    <m/>
    <m/>
    <m/>
    <m/>
    <m/>
  </r>
  <r>
    <n v="199"/>
    <s v="Akshaykumar Patil"/>
    <s v="akshaykumar.patil@intuitive.cloud"/>
    <x v="0"/>
    <s v="Nitin Sharma"/>
    <x v="7"/>
    <s v="NetSec + SDx"/>
    <d v="2026-06-12T00:00:00"/>
    <d v="2026-07-14T00:00:00"/>
    <s v="ANTH239559"/>
    <m/>
    <m/>
    <m/>
    <m/>
  </r>
  <r>
    <n v="200"/>
    <s v="Santosh Patkar"/>
    <s v="santosh.patkar@intuitive.cloud"/>
    <x v="1"/>
    <s v="Sriram Mani"/>
    <x v="1"/>
    <s v="Cloud &amp; Platform Engineering"/>
    <d v="2026-02-06T00:00:00"/>
    <d v="2026-06-29T00:00:00"/>
    <m/>
    <m/>
    <m/>
    <m/>
    <m/>
  </r>
  <r>
    <n v="201"/>
    <s v="Darshan Bhavsar"/>
    <s v="darshan.bhavsar@intuitive.ai"/>
    <x v="0"/>
    <s v="Pritam Dodeja"/>
    <x v="10"/>
    <s v="Data + AI"/>
    <s v="20/06/2026"/>
    <s v="22/06/2026"/>
    <m/>
    <m/>
    <m/>
    <m/>
    <m/>
  </r>
  <r>
    <n v="202"/>
    <s v="Kalyani Rajawat"/>
    <s v="kalyani.rajawat@intuitive.cloud"/>
    <x v="1"/>
    <s v="Chandrashekar Vankayalapati"/>
    <x v="5"/>
    <s v="App + DB Mod"/>
    <d v="2026-08-06T00:00:00"/>
    <d v="2026-07-12T00:00:00"/>
    <m/>
    <m/>
    <m/>
    <m/>
    <m/>
  </r>
  <r>
    <n v="203"/>
    <s v="Divya Mahesh"/>
    <s v="divya.mahesh@intuitive.cloud"/>
    <x v="1"/>
    <s v="Honey Agarwal"/>
    <x v="12"/>
    <s v="CMS"/>
    <s v="29/05/2026"/>
    <d v="2026-06-29T00:00:00"/>
    <m/>
    <m/>
    <m/>
    <m/>
    <m/>
  </r>
  <r>
    <n v="204"/>
    <s v="Tushar Kaushik"/>
    <s v="tushar.kaushik@intuitive.ai"/>
    <x v="2"/>
    <s v="Pritam Dodeja"/>
    <x v="10"/>
    <s v="Data + AI"/>
    <d v="2026-10-05T00:00:00"/>
    <s v="31/05/2026"/>
    <m/>
    <m/>
    <m/>
    <m/>
    <m/>
  </r>
  <r>
    <n v="205"/>
    <s v="Rohit Chadha"/>
    <s v="rohit.chadha@intuitive.cloud"/>
    <x v="1"/>
    <s v="Chandrashekar Vankayalapati"/>
    <x v="5"/>
    <s v="App + DB Mod"/>
    <d v="2026-01-06T00:00:00"/>
    <d v="2026-07-18T00:00:00"/>
    <m/>
    <m/>
    <m/>
    <m/>
    <m/>
  </r>
  <r>
    <n v="206"/>
    <s v="Sanjay Gunwal"/>
    <s v="sanjay.gunwal@intuitive.ai"/>
    <x v="1"/>
    <s v="Nitin Sharma"/>
    <x v="7"/>
    <s v="NetSec + SDx"/>
    <s v="14/06/2026"/>
    <m/>
    <m/>
    <m/>
    <m/>
    <m/>
    <m/>
  </r>
  <r>
    <n v="207"/>
    <s v="Rahul Yadav"/>
    <s v="rahul.yadav@intuitive.cloud"/>
    <x v="1"/>
    <s v="Deepak Shekhar"/>
    <x v="7"/>
    <s v="NetSec + SDx"/>
    <s v="25/04/2026"/>
    <d v="2026-06-28T00:00:00"/>
    <m/>
    <m/>
    <m/>
    <m/>
    <m/>
  </r>
  <r>
    <n v="208"/>
    <s v="Vishal"/>
    <s v="Vishal.B@Intuitive.ai"/>
    <x v="0"/>
    <s v="Bhavesh Shah"/>
    <x v="5"/>
    <s v="App + DB Mod"/>
    <s v="19/06/2026"/>
    <s v="29/06/2026"/>
    <m/>
    <m/>
    <m/>
    <m/>
    <m/>
  </r>
  <r>
    <n v="209"/>
    <s v="Ankit Mukherjee"/>
    <s v="ankit.mukherjee@intuitive.ai"/>
    <x v="0"/>
    <s v="Nitin Sharma"/>
    <x v="7"/>
    <s v="NetSec + SDx"/>
    <d v="2026-05-30T00:00:00"/>
    <s v="20/06/2026"/>
    <s v="joei49sqc8gx"/>
    <m/>
    <m/>
    <m/>
    <m/>
  </r>
  <r>
    <n v="210"/>
    <s v="Rahul Morabiya"/>
    <s v="rahul.morabiya@intuitive.ai"/>
    <x v="0"/>
    <s v="Bhavesh Shah"/>
    <x v="5"/>
    <s v="App + DB Mod"/>
    <s v="19/06/2026"/>
    <m/>
    <s v="046a7a62-3080-48b8-a35a-d750a43a411b"/>
    <m/>
    <m/>
    <m/>
    <m/>
  </r>
  <r>
    <n v="211"/>
    <s v="Suresh Kumar Mushan"/>
    <s v="suresh.mushan@intuitive.cloud"/>
    <x v="1"/>
    <s v="Peter Turner"/>
    <x v="11"/>
    <s v="Cloud &amp; Platform Engineering"/>
    <s v="20/06/2026"/>
    <m/>
    <m/>
    <m/>
    <m/>
    <m/>
    <m/>
  </r>
  <r>
    <n v="212"/>
    <s v="Binayak Mishra"/>
    <s v="binayak.mishra@intuitive.ai"/>
    <x v="1"/>
    <s v="Prakash Patil"/>
    <x v="5"/>
    <s v="App + DB Mod"/>
    <s v="19/06/2026"/>
    <m/>
    <m/>
    <m/>
    <m/>
    <m/>
    <m/>
  </r>
  <r>
    <n v="213"/>
    <s v="Janhvi Kurkure"/>
    <s v="janhvi.kurkure@intuitive.ai"/>
    <x v="0"/>
    <s v="Bhavesh Shah"/>
    <x v="1"/>
    <s v="Cloud &amp; Platform Engineering"/>
    <s v="18/05/2026"/>
    <s v="30/06/2026"/>
    <m/>
    <m/>
    <m/>
    <m/>
    <m/>
  </r>
  <r>
    <n v="214"/>
    <s v="Anand Kumar Akurathi"/>
    <s v="anand.akurathi@intuitive.cloud"/>
    <x v="1"/>
    <s v="Prakash Patil"/>
    <x v="5"/>
    <s v="App + DB Mod"/>
    <s v="15/06/2026"/>
    <d v="2026-06-28T00:00:00"/>
    <m/>
    <m/>
    <m/>
    <m/>
    <m/>
  </r>
  <r>
    <n v="215"/>
    <s v="Henry Ruelan"/>
    <s v="henry.ruelan@intuitive.cloud"/>
    <x v="1"/>
    <s v="Bharath Babbur"/>
    <x v="11"/>
    <s v="NetSec + SDx"/>
    <s v="15/05/2026"/>
    <d v="2026-07-30T00:00:00"/>
    <m/>
    <m/>
    <m/>
    <m/>
    <m/>
  </r>
  <r>
    <n v="216"/>
    <s v="Imad Ahmed"/>
    <s v="imad.ahmed@intuitive.ai"/>
    <x v="0"/>
    <s v="Peter Turner"/>
    <x v="11"/>
    <s v="Cloud &amp; Platform Engineering"/>
    <d v="2026-04-01T00:00:00"/>
    <d v="2026-06-30T00:00:00"/>
    <m/>
    <m/>
    <m/>
    <m/>
    <m/>
  </r>
  <r>
    <n v="217"/>
    <s v="Pearl Jotania"/>
    <s v="pearl.jotania@intuitive.ai"/>
    <x v="0"/>
    <s v="Deep Purohit"/>
    <x v="10"/>
    <s v="Data + AI"/>
    <s v="13/06/2023"/>
    <s v="29/06/2026"/>
    <m/>
    <m/>
    <m/>
    <m/>
    <m/>
  </r>
  <r>
    <n v="218"/>
    <s v="Aditya Shukla"/>
    <s v="aditya.shukla@intuitive.cloud"/>
    <x v="0"/>
    <s v="Pritam Dodeja"/>
    <x v="10"/>
    <s v="Data + AI"/>
    <s v="22/06/2026"/>
    <d v="2026-06-29T00:00:00"/>
    <m/>
    <m/>
    <m/>
    <m/>
    <m/>
  </r>
  <r>
    <n v="219"/>
    <s v="Ravikant Jaiswar"/>
    <s v="ravikant.jaiswar@intuitive.cloud"/>
    <x v="0"/>
    <s v="Honey Agarwal"/>
    <x v="12"/>
    <s v="CMS"/>
    <s v="15/05/2026"/>
    <s v="22/06/2026"/>
    <m/>
    <m/>
    <m/>
    <m/>
    <m/>
  </r>
  <r>
    <n v="220"/>
    <s v="S Yaswardhan Reddy"/>
    <s v="yaswardhan.reddy@intuitive.cloud"/>
    <x v="1"/>
    <s v="Honey Agarwal"/>
    <x v="12"/>
    <s v="CMS"/>
    <s v="30/05/2026"/>
    <d v="2026-07-13T00:00:00"/>
    <m/>
    <m/>
    <m/>
    <m/>
    <m/>
  </r>
  <r>
    <n v="221"/>
    <s v="Vadodaria Parth Mayankbhai"/>
    <s v="parth.vadodaria@intuitive.ai"/>
    <x v="0"/>
    <s v="Bhavesh Shah"/>
    <x v="5"/>
    <s v="App + DB Mod"/>
    <d v="2026-09-06T00:00:00"/>
    <s v="29/06/2026"/>
    <m/>
    <m/>
    <m/>
    <m/>
    <m/>
  </r>
  <r>
    <n v="222"/>
    <s v="Abdul Basith"/>
    <s v="abdul.basith@intuitive.ai"/>
    <x v="1"/>
    <s v="Umamaheswari Challa"/>
    <x v="1"/>
    <s v="Data + AI"/>
    <d v="2026-10-06T00:00:00"/>
    <m/>
    <m/>
    <m/>
    <m/>
    <m/>
    <m/>
  </r>
  <r>
    <n v="223"/>
    <s v="Chocha Darshil"/>
    <s v="darshil.chocha@intuitive.ai"/>
    <x v="0"/>
    <s v="Ahmed Ali"/>
    <x v="4"/>
    <s v="Cybersecurity"/>
    <s v="17/06/2026"/>
    <m/>
    <m/>
    <m/>
    <m/>
    <m/>
    <m/>
  </r>
  <r>
    <n v="224"/>
    <s v="Sandeep Singh"/>
    <s v="sandeep.singh@intuitive.ai"/>
    <x v="0"/>
    <s v="Anand Akurathi"/>
    <x v="5"/>
    <s v="App + DB Mod"/>
    <s v="20/05/2026"/>
    <s v="27/06/2026"/>
    <m/>
    <m/>
    <m/>
    <m/>
    <m/>
  </r>
  <r>
    <n v="225"/>
    <s v="Prachi Desai"/>
    <s v="prachi.desai@intuitive.ai"/>
    <x v="0"/>
    <s v="Dr Reza Mehrizi"/>
    <x v="5"/>
    <s v="Data + AI"/>
    <s v="21/06/2026"/>
    <s v="28/06/2026"/>
    <s v="0f6546aa-34b4-41e4-991d-d855c87713da"/>
    <m/>
    <m/>
    <m/>
    <m/>
  </r>
  <r>
    <n v="226"/>
    <s v=" Arnav Bansal"/>
    <s v="arnav.bansal@intuitive.ai"/>
    <x v="0"/>
    <s v="Ahmed Ali"/>
    <x v="4"/>
    <s v="Cybersec + SDx"/>
    <s v="17/06/2026"/>
    <m/>
    <m/>
    <m/>
    <m/>
    <m/>
    <m/>
  </r>
  <r>
    <n v="227"/>
    <s v="Leen Assaf"/>
    <s v="leen.assaf@intuitive.ai"/>
    <x v="0"/>
    <s v="Vishal Kanade"/>
    <x v="1"/>
    <s v="Cloud &amp; Platform Engineering"/>
    <s v="19/06/2026"/>
    <s v="27/06/2026"/>
    <m/>
    <m/>
    <m/>
    <m/>
    <m/>
  </r>
  <r>
    <n v="228"/>
    <s v="Adesh Abhang"/>
    <s v="adesh.abhang@intuitive.ai"/>
    <x v="0"/>
    <s v="Pritam Dodeja"/>
    <x v="10"/>
    <s v="Data + AI"/>
    <d v="2026-01-06T00:00:00"/>
    <s v="28/06/2026"/>
    <m/>
    <m/>
    <m/>
    <m/>
    <m/>
  </r>
  <r>
    <n v="229"/>
    <s v="Sandesh Lavti "/>
    <s v="sandesh.lavti@intuitive.ai"/>
    <x v="1"/>
    <s v="Honey Agarwal"/>
    <x v="1"/>
    <s v="24/06/2026"/>
    <s v="29/06/2026"/>
    <m/>
    <m/>
    <m/>
    <m/>
    <m/>
    <m/>
  </r>
  <r>
    <n v="230"/>
    <s v="Parikh Het"/>
    <s v="het.parikh@intuitive.ai"/>
    <x v="0"/>
    <s v="Ahmed Ali"/>
    <x v="4"/>
    <s v="Cybersec + SDx"/>
    <s v="17/06/2026"/>
    <s v="27/06/2026"/>
    <m/>
    <m/>
    <m/>
    <m/>
    <m/>
  </r>
  <r>
    <n v="231"/>
    <s v="Scott Kriebel"/>
    <s v="scott.kriebel@intuitive.ai"/>
    <x v="2"/>
    <s v="Mike Shilling"/>
    <x v="4"/>
    <s v="NetSec + SDx"/>
    <s v="29/05/2026"/>
    <m/>
    <m/>
    <m/>
    <m/>
    <m/>
    <m/>
  </r>
  <r>
    <n v="232"/>
    <s v="Dhruvi Soni"/>
    <s v="dhruvi.soni@intuitive.ai"/>
    <x v="0"/>
    <s v="Nitin Sharma"/>
    <x v="7"/>
    <s v="NetSec + SDx"/>
    <d v="2026-01-06T00:00:00"/>
    <d v="2026-06-24T00:00:00"/>
    <s v="ivdqedzp8xmf"/>
    <m/>
    <m/>
    <m/>
    <m/>
  </r>
  <r>
    <n v="233"/>
    <s v="Satvik Sharma"/>
    <s v="satvik.sharma@intuitive.ai"/>
    <x v="0"/>
    <s v="Nitin Sharma"/>
    <x v="7"/>
    <s v="NetSec + SDx"/>
    <d v="2026-01-06T00:00:00"/>
    <m/>
    <s v="319408b7-e02e-4be2-9610-aa9fd4277497"/>
    <m/>
    <m/>
    <m/>
    <m/>
  </r>
  <r>
    <n v="234"/>
    <s v="Kumar Ankur"/>
    <s v="kumar.ankur@intuitive.ai"/>
    <x v="0"/>
    <s v="Bharath Babbur"/>
    <x v="9"/>
    <s v="NetSec + SDx"/>
    <d v="2026-01-06T00:00:00"/>
    <s v="19/06/2026"/>
    <s v="29614b59-8a30-456f-ac35-362a1df34184"/>
    <m/>
    <m/>
    <m/>
    <m/>
  </r>
  <r>
    <n v="235"/>
    <s v="Syed Mohammad Ayan Abbas"/>
    <s v="ayan.abbas@intuitive.ai"/>
    <x v="0"/>
    <s v="Vivek Mohan"/>
    <x v="10"/>
    <s v="Data + AI"/>
    <s v="22/06/2026"/>
    <s v="28/06/2026"/>
    <s v="5a079e51-f301-4428-b4d2-1c1e6ba069ba"/>
    <d v="2026-07-27T00:00:00"/>
    <m/>
    <m/>
    <m/>
  </r>
  <r>
    <n v="236"/>
    <s v="Darshan Kanade"/>
    <s v="darshan.kanade@intuitive.ai"/>
    <x v="0"/>
    <s v="Pritam Dodeja"/>
    <x v="10"/>
    <s v="Data + AI"/>
    <s v="23/06/2026"/>
    <s v="30/06/2026"/>
    <s v="d5397251-c47a-4fbb-92f6-03da0089e07b  "/>
    <d v="2026-07-18T00:00:00"/>
    <m/>
    <m/>
    <m/>
  </r>
  <r>
    <n v="237"/>
    <s v="Harsh Kharwar"/>
    <s v="harsh.kharwar@intuitive.ai"/>
    <x v="0"/>
    <s v="Vivek Mohan"/>
    <x v="10"/>
    <s v="Data + AI"/>
    <s v="25/05/2026"/>
    <s v="24/06/2026"/>
    <m/>
    <m/>
    <m/>
    <m/>
    <m/>
  </r>
  <r>
    <n v="238"/>
    <s v="Mahesh Navnath Pawar"/>
    <s v="mahesh.pawar@intuitive.ai"/>
    <x v="1"/>
    <s v="Nitin Sharma"/>
    <x v="7"/>
    <s v="NetSec + SDx"/>
    <s v="15/06/2026"/>
    <d v="2026-06-30T00:00:00"/>
    <m/>
    <m/>
    <m/>
    <m/>
    <m/>
  </r>
  <r>
    <n v="239"/>
    <s v="Manvi Sonker"/>
    <s v="manvi.sonker@intuitive.ai"/>
    <x v="0"/>
    <s v="Jayesh Purohit"/>
    <x v="5"/>
    <s v="App + DB Mod"/>
    <s v="24/06/2026"/>
    <d v="2026-07-11T00:00:00"/>
    <m/>
    <m/>
    <m/>
    <m/>
    <m/>
  </r>
  <r>
    <n v="240"/>
    <s v="Bhumi Patel"/>
    <s v="bhumi.patel@intuitive.ai"/>
    <x v="0"/>
    <s v="Vivek Mohan"/>
    <x v="10"/>
    <s v="Data + AI"/>
    <s v="18/06/2026"/>
    <s v="26/06/2026"/>
    <m/>
    <m/>
    <m/>
    <m/>
    <m/>
  </r>
  <r>
    <n v="241"/>
    <s v="Sukhpreet Singh"/>
    <s v="sukhpreet.singh@intuitive.cloud"/>
    <x v="0"/>
    <s v="Pritam Dodeja"/>
    <x v="10"/>
    <m/>
    <m/>
    <m/>
    <m/>
    <m/>
    <m/>
    <m/>
    <m/>
  </r>
  <r>
    <n v="242"/>
    <s v="Harshil Khamar"/>
    <s v="harshil.khamar@intuitive.cloud"/>
    <x v="0"/>
    <s v="Piyush Jalan"/>
    <x v="1"/>
    <s v="Cloud &amp; Platform Engineering"/>
    <s v="25/06/2026"/>
    <s v="27/06/2026"/>
    <m/>
    <m/>
    <m/>
    <m/>
    <m/>
  </r>
  <r>
    <n v="243"/>
    <s v="Nauman Chaudhary "/>
    <s v="nauman.chaudhary@intuitive.ai"/>
    <x v="1"/>
    <s v="Mike Shilling"/>
    <x v="4"/>
    <s v="Cybersecurity"/>
    <m/>
    <m/>
    <m/>
    <m/>
    <m/>
    <m/>
    <m/>
  </r>
  <r>
    <n v="244"/>
    <s v="Nirmal Trivedi"/>
    <s v="nirmal.trivedi@intuitive.ai"/>
    <x v="0"/>
    <s v="Biswajit Mohapatra"/>
    <x v="15"/>
    <m/>
    <m/>
    <m/>
    <m/>
    <m/>
    <m/>
    <m/>
    <m/>
  </r>
  <r>
    <n v="245"/>
    <s v="Aryan Nair"/>
    <s v="aryan.nair@intuitive.cloud"/>
    <x v="0"/>
    <s v="Mohammed Yakhoob"/>
    <x v="8"/>
    <s v="PMO"/>
    <m/>
    <m/>
    <m/>
    <m/>
    <m/>
    <m/>
    <m/>
  </r>
  <r>
    <n v="246"/>
    <s v="Srushti Moghe"/>
    <s v="srushti.moghe@intuitive.ai"/>
    <x v="0"/>
    <s v="Vivek Mohan"/>
    <x v="10"/>
    <s v="Data + AI"/>
    <m/>
    <m/>
    <m/>
    <m/>
    <m/>
    <m/>
    <m/>
  </r>
  <r>
    <n v="247"/>
    <s v="Chirag Pahuja"/>
    <s v="chirag.pahuja@intuitive.ai"/>
    <x v="0"/>
    <s v="David Hammond"/>
    <x v="0"/>
    <s v="Data + AI"/>
    <m/>
    <m/>
    <m/>
    <m/>
    <m/>
    <m/>
    <m/>
  </r>
  <r>
    <n v="248"/>
    <s v="Suraj Mulchandani"/>
    <s v="suraj.mulchandani@intuitive.cloud"/>
    <x v="0"/>
    <s v="Bhavesh Shah"/>
    <x v="16"/>
    <m/>
    <m/>
    <m/>
    <m/>
    <m/>
    <m/>
    <m/>
    <m/>
  </r>
  <r>
    <n v="249"/>
    <s v="Pratham Kakkad"/>
    <s v="pratham.kakkad@intuitive.ai"/>
    <x v="0"/>
    <s v="Chandrashekar Vankayalapati"/>
    <x v="5"/>
    <m/>
    <m/>
    <m/>
    <m/>
    <m/>
    <m/>
    <m/>
    <m/>
  </r>
  <r>
    <n v="250"/>
    <s v="Aditya Shah"/>
    <s v="aditya.shah@intuitive.cloud"/>
    <x v="0"/>
    <s v="Pritam Dodeja"/>
    <x v="10"/>
    <s v="Data + AI"/>
    <m/>
    <m/>
    <m/>
    <m/>
    <m/>
    <m/>
    <m/>
  </r>
  <r>
    <n v="251"/>
    <s v="Abhijeet Kulkarni "/>
    <s v="abhijeet.kulkarni@intuitive.cloud"/>
    <x v="0"/>
    <s v="Ankeit Taksh"/>
    <x v="17"/>
    <s v="Cloud &amp; Platform Engineering"/>
    <m/>
    <m/>
    <s v="c0c5809e-50b8-4da9-9285-168ef00ed32c"/>
    <m/>
    <m/>
    <m/>
    <m/>
  </r>
  <r>
    <n v="252"/>
    <s v="Rushi Kardani "/>
    <s v="rushi.kardani@intuitive.ai"/>
    <x v="0"/>
    <s v="Bhavesh Shah"/>
    <x v="16"/>
    <s v="Cloud &amp; Platform Engineering"/>
    <d v="2026-06-13T00:00:00"/>
    <d v="2026-06-27T00:00:00"/>
    <s v="7b6e83bb-5cab-4e84-ac41-d6a8128c6847"/>
    <m/>
    <m/>
    <m/>
    <m/>
  </r>
  <r>
    <n v="253"/>
    <s v="Darshan Shah"/>
    <s v="darshan.shah@intuitive.ai"/>
    <x v="0"/>
    <s v="Pritam Dodeja"/>
    <x v="10"/>
    <s v="Data + AI"/>
    <m/>
    <m/>
    <s v="fab1e1cb-ffb6-403d-92c3-8322e2168885"/>
    <m/>
    <m/>
    <m/>
    <m/>
  </r>
  <r>
    <n v="254"/>
    <s v="Chaitanya Baweja"/>
    <s v="chaitanya.baweja@intuitive.ai"/>
    <x v="0"/>
    <s v="Aastha Laroiya"/>
    <x v="8"/>
    <s v="PMO"/>
    <m/>
    <m/>
    <m/>
    <m/>
    <m/>
    <m/>
    <m/>
  </r>
  <r>
    <n v="255"/>
    <s v="Karthik Kumar V M"/>
    <s v="karthik.kumar@intuitive.ai"/>
    <x v="0"/>
    <s v="Bharath Babbur"/>
    <x v="9"/>
    <s v="NetSec + SDx"/>
    <m/>
    <d v="2026-07-10T00:00:00"/>
    <s v="3b061351-bd8b-4307-87fc-b08ca14e55ca"/>
    <m/>
    <m/>
    <m/>
    <m/>
  </r>
  <r>
    <n v="256"/>
    <s v="Shailendra Jha"/>
    <s v="shailendra.jha@intuitive.cloud"/>
    <x v="0"/>
    <s v="Murtaza Vajihee"/>
    <x v="14"/>
    <s v="NetSec + SDx"/>
    <m/>
    <m/>
    <m/>
    <m/>
    <m/>
    <m/>
    <m/>
  </r>
  <r>
    <n v="257"/>
    <s v="Krishil Agrawal"/>
    <s v="Krishil.agrawal@intuitive.ai"/>
    <x v="0"/>
    <s v="Jayesh Purohit"/>
    <x v="5"/>
    <s v="Data + AI"/>
    <d v="2026-07-08T00:00:00"/>
    <d v="2026-07-14T00:00:00"/>
    <s v="-"/>
    <m/>
    <m/>
    <m/>
    <m/>
  </r>
  <r>
    <n v="258"/>
    <s v="Riddhi Warale"/>
    <s v="riddhi.warale@intuitive.ai"/>
    <x v="0"/>
    <s v="Biswajit Mohapatra"/>
    <x v="18"/>
    <s v="Data + AI"/>
    <m/>
    <d v="2026-07-17T00:00:00"/>
    <s v="26b7b61e-9d43-4604-a525-fb5a418d0c3c"/>
    <m/>
    <m/>
    <m/>
    <m/>
  </r>
  <r>
    <n v="259"/>
    <s v="Sunil Bhagat"/>
    <s v="sunil.bhagat@intuitive.ai"/>
    <x v="0"/>
    <s v="Vivek Mohan"/>
    <x v="3"/>
    <s v="Data + AI"/>
    <m/>
    <d v="2026-07-18T00:00:00"/>
    <m/>
    <m/>
    <m/>
    <m/>
    <m/>
  </r>
  <r>
    <n v="260"/>
    <s v="Ampil Verma"/>
    <s v="ampil.verma@intuitive.ai"/>
    <x v="1"/>
    <s v="Prakash Patil"/>
    <x v="3"/>
    <s v="App + DB Mod"/>
    <m/>
    <m/>
    <m/>
    <m/>
    <m/>
    <m/>
    <m/>
  </r>
  <r>
    <n v="261"/>
    <s v="Robin Jacob"/>
    <s v="robin.jacob@Intuitive.AI"/>
    <x v="0"/>
    <s v="Mohammed Yakhoob"/>
    <x v="18"/>
    <s v="PMO"/>
    <m/>
    <m/>
    <m/>
    <m/>
    <m/>
    <m/>
    <m/>
  </r>
  <r>
    <n v="262"/>
    <s v="Safir Ahamed"/>
    <s v="safir.ahamed@intuitive.ai"/>
    <x v="0"/>
    <s v="Barath Arivazhagan"/>
    <x v="11"/>
    <s v="Cloud &amp; Platform Engineering"/>
    <m/>
    <d v="2026-07-21T00:00:00"/>
    <m/>
    <m/>
    <m/>
    <m/>
    <m/>
  </r>
  <r>
    <n v="263"/>
    <s v="Arya Kayastha"/>
    <s v="arya.kayastha@intuitive.ai"/>
    <x v="0"/>
    <s v="Jayesh Purohit"/>
    <x v="5"/>
    <s v="Data + AI"/>
    <m/>
    <m/>
    <m/>
    <m/>
    <m/>
    <m/>
    <m/>
  </r>
  <r>
    <n v="264"/>
    <s v="Kunj Patel"/>
    <s v="kunj.patel@intuitive.ai"/>
    <x v="0"/>
    <s v="Biswajit Mohapatra"/>
    <x v="18"/>
    <s v="Data + AI"/>
    <m/>
    <m/>
    <s v="f7f48c31-8bed-4b12-b92f-88fe1c69f3ca"/>
    <m/>
    <m/>
    <m/>
    <m/>
  </r>
  <r>
    <n v="265"/>
    <s v="Prabhat Singh"/>
    <s v="prabhat.singh@intuitive.ai"/>
    <x v="0"/>
    <s v="Umamaheswari Challa"/>
    <x v="10"/>
    <s v="Data + AI"/>
    <m/>
    <d v="2026-07-25T00:00:00"/>
    <m/>
    <m/>
    <m/>
    <m/>
    <m/>
  </r>
  <r>
    <n v="266"/>
    <s v="Priyansh Balwani"/>
    <s v="priyansh.balwani@intuitive.ai"/>
    <x v="0"/>
    <s v="Jayesh Purohit"/>
    <x v="5"/>
    <s v="Data + AI"/>
    <m/>
    <m/>
    <m/>
    <m/>
    <m/>
    <m/>
    <m/>
  </r>
  <r>
    <n v="267"/>
    <s v="Yugandar Maddipatla"/>
    <s v="Yugandar.Maddipatla@intuitive.AI"/>
    <x v="0"/>
    <s v="Umamaheswari Challa"/>
    <x v="10"/>
    <s v="Data + AI"/>
    <m/>
    <m/>
    <m/>
    <m/>
    <m/>
    <m/>
    <m/>
  </r>
  <r>
    <n v="268"/>
    <s v="Palak Dave"/>
    <s v="palak.dave@intuitive.ai"/>
    <x v="0"/>
    <s v="Jayesh Purohit"/>
    <x v="5"/>
    <s v="Data + AI"/>
    <d v="2026-07-06T00:00:00"/>
    <d v="2026-07-30T00:00:00"/>
    <m/>
    <m/>
    <m/>
    <m/>
    <m/>
  </r>
  <r>
    <n v="269"/>
    <s v="Puja Rachchh"/>
    <s v="puja.rachchh@intuitive.ai"/>
    <x v="0"/>
    <s v="Jayesh Purohit"/>
    <x v="5"/>
    <s v="Data + AI"/>
    <d v="2026-07-06T00:00:00"/>
    <d v="2026-07-30T00:00:00"/>
    <m/>
    <m/>
    <m/>
    <m/>
    <m/>
  </r>
  <r>
    <n v="270"/>
    <s v="Jahnavi Patel"/>
    <s v="jahnavi.patel@intuitive.ai"/>
    <x v="0"/>
    <s v="Jayesh Purohit"/>
    <x v="5"/>
    <s v="Data + AI"/>
    <d v="2026-07-20T00:00:00"/>
    <d v="2026-07-30T00:00:00"/>
    <m/>
    <m/>
    <m/>
    <m/>
    <m/>
  </r>
  <r>
    <n v="271"/>
    <s v="Gourab Banerjee"/>
    <s v="gourab.banerjee@intuitive.ai"/>
    <x v="0"/>
    <s v="Aastha Laroiya"/>
    <x v="8"/>
    <s v="PMO"/>
    <d v="2026-07-10T00:00:00"/>
    <s v=" 28-Jul-2026"/>
    <m/>
    <m/>
    <m/>
    <m/>
    <m/>
  </r>
  <r>
    <n v="272"/>
    <s v="Manpreet Singh"/>
    <s v="manpreet.singh@intuitive.ai"/>
    <x v="1"/>
    <s v="Deepak Ahlawat"/>
    <x v="5"/>
    <s v="App + DB Mod"/>
    <d v="2026-06-27T00:00:00"/>
    <m/>
    <m/>
    <m/>
    <m/>
    <m/>
    <m/>
  </r>
  <r>
    <n v="273"/>
    <s v="Nancy Vaghela "/>
    <s v="nancy.vaghela@intuitive.ai"/>
    <x v="0"/>
    <s v="Jayesh Purohit"/>
    <x v="5"/>
    <s v="App + DB Mod"/>
    <d v="2026-07-19T00:00:00"/>
    <d v="2026-08-04T00:00:00"/>
    <m/>
    <m/>
    <m/>
    <m/>
    <m/>
  </r>
  <r>
    <n v="274"/>
    <s v="Saurabh Mishra"/>
    <s v="saurabh.mishra@intuitive.ai"/>
    <x v="0"/>
    <s v="Deepak Ahlawat"/>
    <x v="5"/>
    <s v="App + DB Mod"/>
    <m/>
    <m/>
    <m/>
    <m/>
    <m/>
    <m/>
    <m/>
  </r>
  <r>
    <n v="275"/>
    <s v="Akshay Nisang"/>
    <s v="akshay.nisang@intuitive.ai"/>
    <x v="0"/>
    <s v="Barath Arivazhagan"/>
    <x v="19"/>
    <s v="Cloud &amp; Platform Engineering"/>
    <m/>
    <m/>
    <m/>
    <m/>
    <m/>
    <m/>
    <m/>
  </r>
  <r>
    <n v="276"/>
    <s v="Akshatha S M"/>
    <s v="akshatha.sm@intuitive.ai"/>
    <x v="3"/>
    <s v="Anand Akurathi"/>
    <x v="5"/>
    <s v="App + DB Mod"/>
    <m/>
    <m/>
    <m/>
    <m/>
    <m/>
    <m/>
    <m/>
  </r>
  <r>
    <n v="277"/>
    <s v="Prem Kotadiya"/>
    <s v="prem.kotadiya@intuitive.ai"/>
    <x v="0"/>
    <s v="Jayesh Purohit"/>
    <x v="5"/>
    <s v="App + DB Mod"/>
    <m/>
    <d v="2026-09-07T00:00:00"/>
    <m/>
    <m/>
    <m/>
    <m/>
    <m/>
  </r>
  <r>
    <n v="278"/>
    <s v="Mansi  Sisangiya"/>
    <s v="mansi.sisangiya@intuitive.ai"/>
    <x v="0"/>
    <s v="Jayesh Purohit"/>
    <x v="5"/>
    <s v="App + DB Mod"/>
    <m/>
    <m/>
    <m/>
    <m/>
    <m/>
    <m/>
    <m/>
  </r>
  <r>
    <n v="279"/>
    <s v="Hem Modi"/>
    <s v="hem.modi@intuitive.ai"/>
    <x v="0"/>
    <s v="Debrup Mondal"/>
    <x v="20"/>
    <s v="Data+AI"/>
    <d v="2026-08-20T00:00:00"/>
    <d v="2026-09-03T00:00:00"/>
    <m/>
    <m/>
    <m/>
    <m/>
    <m/>
  </r>
  <r>
    <n v="280"/>
    <s v="Jaswinder Singh"/>
    <s v="jaswinder.singh@intuitive.ai"/>
    <x v="0"/>
    <s v="Mohammed Yassin "/>
    <x v="4"/>
    <s v="NetSec + SDx"/>
    <m/>
    <m/>
    <m/>
    <m/>
    <m/>
    <m/>
    <m/>
  </r>
  <r>
    <m/>
    <m/>
    <m/>
    <x v="3"/>
    <m/>
    <x v="19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48E37-545C-4FD3-BDA6-1410011BAD18}" name="PivotTable1" cacheId="12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F25" firstHeaderRow="1" firstDataRow="2" firstDataCol="1"/>
  <pivotFields count="14">
    <pivotField compact="0" outline="0" showAll="0"/>
    <pivotField compact="0" outline="0" showAll="0"/>
    <pivotField compact="0" outline="0" showAll="0"/>
    <pivotField axis="axisCol" dataField="1" compact="0" outline="0" showAll="0">
      <items count="6">
        <item x="2"/>
        <item x="0"/>
        <item x="1"/>
        <item m="1" x="4"/>
        <item x="3"/>
        <item t="default"/>
      </items>
    </pivotField>
    <pivotField compact="0" outline="0" showAll="0"/>
    <pivotField axis="axisRow" compact="0" outline="0" showAll="0">
      <items count="22">
        <item x="4"/>
        <item x="13"/>
        <item x="9"/>
        <item x="12"/>
        <item x="0"/>
        <item x="6"/>
        <item x="3"/>
        <item x="8"/>
        <item x="7"/>
        <item x="14"/>
        <item x="10"/>
        <item x="5"/>
        <item x="1"/>
        <item x="11"/>
        <item x="2"/>
        <item x="19"/>
        <item x="17"/>
        <item x="15"/>
        <item x="16"/>
        <item x="18"/>
        <item x="2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3"/>
  </colFields>
  <colItems count="5">
    <i>
      <x/>
    </i>
    <i>
      <x v="1"/>
    </i>
    <i>
      <x v="2"/>
    </i>
    <i>
      <x v="4"/>
    </i>
    <i t="grand">
      <x/>
    </i>
  </colItems>
  <dataFields count="1">
    <dataField name="Count of Statu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ertTracker" displayName="CertTracker" ref="A1:P281" totalsRowShown="0" headerRowDxfId="17" dataDxfId="16">
  <autoFilter ref="A1:P281" xr:uid="{00000000-000C-0000-FFFF-FFFF00000000}"/>
  <tableColumns count="16">
    <tableColumn id="1" xr3:uid="{00000000-0010-0000-0000-000001000000}" name="Index" dataDxfId="15">
      <calculatedColumnFormula>ROW() - ROW(CertTracker[[#Headers],[Index]])</calculatedColumnFormula>
    </tableColumn>
    <tableColumn id="2" xr3:uid="{00000000-0010-0000-0000-000002000000}" name="Name" dataDxfId="14"/>
    <tableColumn id="12" xr3:uid="{8D17B61E-2292-4B4C-A26B-BF94367BE027}" name="Email ID" dataDxfId="13"/>
    <tableColumn id="3" xr3:uid="{00000000-0010-0000-0000-000003000000}" name="Status" dataDxfId="12"/>
    <tableColumn id="4" xr3:uid="{00000000-0010-0000-0000-000004000000}" name="Manager" dataDxfId="11"/>
    <tableColumn id="5" xr3:uid="{00000000-0010-0000-0000-000005000000}" name="PD/Leader" dataDxfId="10"/>
    <tableColumn id="6" xr3:uid="{00000000-0010-0000-0000-000006000000}" name="Practice" dataDxfId="9"/>
    <tableColumn id="7" xr3:uid="{00000000-0010-0000-0000-000007000000}" name="Prep Start Date" dataDxfId="8"/>
    <tableColumn id="8" xr3:uid="{00000000-0010-0000-0000-000008000000}" name="Exam Date" dataDxfId="7"/>
    <tableColumn id="9" xr3:uid="{00000000-0010-0000-0000-000009000000}" name="Certificate Number" dataDxfId="6"/>
    <tableColumn id="14" xr3:uid="{19BE2431-E43D-4F0A-BE64-C7CC950742F5}" name="Cerification submission Date" dataDxfId="5"/>
    <tableColumn id="15" xr3:uid="{3A5DEDB4-86F1-4FB5-9AF6-7DE1B352B416}" name="Expiry Date" dataDxfId="4"/>
    <tableColumn id="16" xr3:uid="{CB8AC9CD-5A13-4DCE-86E3-4439583BBE34}" name="Certificate Valid" dataDxfId="3"/>
    <tableColumn id="10" xr3:uid="{00000000-0010-0000-0000-00000A000000}" name="Comments" dataDxfId="2"/>
    <tableColumn id="11" xr3:uid="{C08BA4D4-DF39-4E22-93FE-4F7CF5BAF34B}" name="Manager mail" dataDxfId="1"/>
    <tableColumn id="13" xr3:uid="{8ED7B7F4-5C2C-4A48-A4DA-BB831E4392CC}" name="PD mail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yPracticeDirector" displayName="ByPracticeDirector" ref="C4:H15" totalsRowShown="0">
  <autoFilter ref="C4:H15" xr:uid="{00000000-0009-0000-0100-000002000000}"/>
  <tableColumns count="6">
    <tableColumn id="1" xr3:uid="{00000000-0010-0000-0100-000001000000}" name="Practice Director"/>
    <tableColumn id="2" xr3:uid="{00000000-0010-0000-0100-000002000000}" name="Certified"/>
    <tableColumn id="3" xr3:uid="{00000000-0010-0000-0100-000003000000}" name="In Progress"/>
    <tableColumn id="4" xr3:uid="{00000000-0010-0000-0100-000004000000}" name="Waiting for Results"/>
    <tableColumn id="5" xr3:uid="{00000000-0010-0000-0100-000005000000}" name="Attempted - Not Cleared"/>
    <tableColumn id="6" xr3:uid="{00000000-0010-0000-0100-000006000000}" name="Grand Tota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ByPractice" displayName="ByPractice" ref="C4:H15" totalsRowShown="0">
  <autoFilter ref="C4:H15" xr:uid="{00000000-0009-0000-0100-000001000000}"/>
  <tableColumns count="6">
    <tableColumn id="1" xr3:uid="{00000000-0010-0000-0200-000001000000}" name="Practice"/>
    <tableColumn id="2" xr3:uid="{00000000-0010-0000-0200-000002000000}" name="Certified"/>
    <tableColumn id="3" xr3:uid="{00000000-0010-0000-0200-000003000000}" name="In Progress"/>
    <tableColumn id="4" xr3:uid="{00000000-0010-0000-0200-000004000000}" name="Waiting for Results"/>
    <tableColumn id="5" xr3:uid="{00000000-0010-0000-0200-000005000000}" name="Attempted - Not Cleared"/>
    <tableColumn id="6" xr3:uid="{00000000-0010-0000-0200-000006000000}" name="Total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verageByDirector" displayName="CoverageByDirector" ref="C4:F17" totalsRowShown="0">
  <tableColumns count="4">
    <tableColumn id="1" xr3:uid="{00000000-0010-0000-0300-000001000000}" name="Practice Director"/>
    <tableColumn id="2" xr3:uid="{00000000-0010-0000-0300-000002000000}" name="Total Resources"/>
    <tableColumn id="3" xr3:uid="{00000000-0010-0000-0300-000003000000}" name="In Tracker"/>
    <tableColumn id="4" xr3:uid="{00000000-0010-0000-0300-000004000000}" name="% Covera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Yugandar.Maddipatla@intuitive.AI" TargetMode="External"/><Relationship Id="rId7" Type="http://schemas.openxmlformats.org/officeDocument/2006/relationships/hyperlink" Target="mailto:gourab.banerjee@intuitive.ai" TargetMode="External"/><Relationship Id="rId2" Type="http://schemas.openxmlformats.org/officeDocument/2006/relationships/hyperlink" Target="mailto:priyansh.balwani@intuitive.ai" TargetMode="External"/><Relationship Id="rId1" Type="http://schemas.openxmlformats.org/officeDocument/2006/relationships/hyperlink" Target="mailto:prabhat.singh@intuitive.ai" TargetMode="External"/><Relationship Id="rId6" Type="http://schemas.openxmlformats.org/officeDocument/2006/relationships/hyperlink" Target="mailto:puja.rachchh@intuitive.ai" TargetMode="External"/><Relationship Id="rId5" Type="http://schemas.openxmlformats.org/officeDocument/2006/relationships/hyperlink" Target="mailto:jahnavi.patel@intuitive.ai" TargetMode="External"/><Relationship Id="rId10" Type="http://schemas.microsoft.com/office/2019/04/relationships/namedSheetView" Target="../namedSheetViews/namedSheetView1.xml"/><Relationship Id="rId4" Type="http://schemas.openxmlformats.org/officeDocument/2006/relationships/hyperlink" Target="mailto:palak.dave@intuitive.ai" TargetMode="External"/><Relationship Id="rId9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E10F-9919-4741-80DA-32BEE90B973C}">
  <dimension ref="A2:F25"/>
  <sheetViews>
    <sheetView workbookViewId="0">
      <selection activeCell="K19" sqref="K19"/>
    </sheetView>
  </sheetViews>
  <sheetFormatPr defaultRowHeight="14.45"/>
  <cols>
    <col min="1" max="1" width="20.140625" bestFit="1" customWidth="1"/>
    <col min="2" max="2" width="23.5703125" bestFit="1" customWidth="1"/>
    <col min="3" max="3" width="8.85546875" bestFit="1" customWidth="1"/>
    <col min="4" max="4" width="11" bestFit="1" customWidth="1"/>
    <col min="5" max="5" width="7.42578125" bestFit="1" customWidth="1"/>
    <col min="6" max="6" width="11.7109375" bestFit="1" customWidth="1"/>
    <col min="7" max="7" width="10.7109375" bestFit="1" customWidth="1"/>
  </cols>
  <sheetData>
    <row r="2" spans="1:6">
      <c r="A2" s="11" t="s">
        <v>0</v>
      </c>
      <c r="B2" s="11" t="s">
        <v>1</v>
      </c>
    </row>
    <row r="3" spans="1:6">
      <c r="A3" s="11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>
      <c r="A4" t="s">
        <v>8</v>
      </c>
      <c r="B4">
        <v>1</v>
      </c>
      <c r="C4">
        <v>15</v>
      </c>
      <c r="D4">
        <v>7</v>
      </c>
      <c r="F4">
        <v>23</v>
      </c>
    </row>
    <row r="5" spans="1:6">
      <c r="A5" t="s">
        <v>9</v>
      </c>
      <c r="C5">
        <v>1</v>
      </c>
      <c r="F5">
        <v>1</v>
      </c>
    </row>
    <row r="6" spans="1:6">
      <c r="A6" t="s">
        <v>10</v>
      </c>
      <c r="B6">
        <v>1</v>
      </c>
      <c r="C6">
        <v>4</v>
      </c>
      <c r="F6">
        <v>5</v>
      </c>
    </row>
    <row r="7" spans="1:6">
      <c r="A7" t="s">
        <v>11</v>
      </c>
      <c r="B7">
        <v>1</v>
      </c>
      <c r="C7">
        <v>7</v>
      </c>
      <c r="D7">
        <v>3</v>
      </c>
      <c r="F7">
        <v>11</v>
      </c>
    </row>
    <row r="8" spans="1:6">
      <c r="A8" t="s">
        <v>12</v>
      </c>
      <c r="B8">
        <v>1</v>
      </c>
      <c r="C8">
        <v>10</v>
      </c>
      <c r="D8">
        <v>6</v>
      </c>
      <c r="F8">
        <v>17</v>
      </c>
    </row>
    <row r="9" spans="1:6">
      <c r="A9" t="s">
        <v>13</v>
      </c>
      <c r="B9">
        <v>1</v>
      </c>
      <c r="C9">
        <v>2</v>
      </c>
      <c r="F9">
        <v>3</v>
      </c>
    </row>
    <row r="10" spans="1:6">
      <c r="A10" t="s">
        <v>14</v>
      </c>
      <c r="C10">
        <v>7</v>
      </c>
      <c r="D10">
        <v>1</v>
      </c>
      <c r="F10">
        <v>8</v>
      </c>
    </row>
    <row r="11" spans="1:6">
      <c r="A11" t="s">
        <v>15</v>
      </c>
      <c r="B11">
        <v>1</v>
      </c>
      <c r="C11">
        <v>3</v>
      </c>
      <c r="D11">
        <v>2</v>
      </c>
      <c r="F11">
        <v>6</v>
      </c>
    </row>
    <row r="12" spans="1:6">
      <c r="A12" t="s">
        <v>16</v>
      </c>
      <c r="B12">
        <v>3</v>
      </c>
      <c r="C12">
        <v>16</v>
      </c>
      <c r="D12">
        <v>5</v>
      </c>
      <c r="F12">
        <v>24</v>
      </c>
    </row>
    <row r="13" spans="1:6">
      <c r="A13" t="s">
        <v>17</v>
      </c>
      <c r="C13">
        <v>1</v>
      </c>
      <c r="D13">
        <v>1</v>
      </c>
      <c r="F13">
        <v>2</v>
      </c>
    </row>
    <row r="14" spans="1:6">
      <c r="A14" t="s">
        <v>18</v>
      </c>
      <c r="B14">
        <v>5</v>
      </c>
      <c r="C14">
        <v>24</v>
      </c>
      <c r="D14">
        <v>3</v>
      </c>
      <c r="F14">
        <v>32</v>
      </c>
    </row>
    <row r="15" spans="1:6">
      <c r="A15" t="s">
        <v>19</v>
      </c>
      <c r="B15">
        <v>3</v>
      </c>
      <c r="C15">
        <v>39</v>
      </c>
      <c r="D15">
        <v>25</v>
      </c>
      <c r="F15">
        <v>67</v>
      </c>
    </row>
    <row r="16" spans="1:6">
      <c r="A16" t="s">
        <v>20</v>
      </c>
      <c r="B16">
        <v>2</v>
      </c>
      <c r="C16">
        <v>40</v>
      </c>
      <c r="D16">
        <v>11</v>
      </c>
      <c r="F16">
        <v>53</v>
      </c>
    </row>
    <row r="17" spans="1:6">
      <c r="A17" t="s">
        <v>21</v>
      </c>
      <c r="C17">
        <v>7</v>
      </c>
      <c r="D17">
        <v>4</v>
      </c>
      <c r="F17">
        <v>11</v>
      </c>
    </row>
    <row r="18" spans="1:6">
      <c r="A18" t="s">
        <v>22</v>
      </c>
      <c r="B18">
        <v>2</v>
      </c>
      <c r="C18">
        <v>4</v>
      </c>
      <c r="D18">
        <v>1</v>
      </c>
      <c r="F18">
        <v>7</v>
      </c>
    </row>
    <row r="19" spans="1:6">
      <c r="A19" t="s">
        <v>6</v>
      </c>
      <c r="C19">
        <v>1</v>
      </c>
      <c r="F19">
        <v>1</v>
      </c>
    </row>
    <row r="20" spans="1:6">
      <c r="A20" t="s">
        <v>23</v>
      </c>
      <c r="C20">
        <v>1</v>
      </c>
      <c r="F20">
        <v>1</v>
      </c>
    </row>
    <row r="21" spans="1:6">
      <c r="A21" t="s">
        <v>24</v>
      </c>
      <c r="C21">
        <v>1</v>
      </c>
      <c r="F21">
        <v>1</v>
      </c>
    </row>
    <row r="22" spans="1:6">
      <c r="A22" t="s">
        <v>25</v>
      </c>
      <c r="C22">
        <v>2</v>
      </c>
      <c r="F22">
        <v>2</v>
      </c>
    </row>
    <row r="23" spans="1:6">
      <c r="A23" t="s">
        <v>26</v>
      </c>
      <c r="C23">
        <v>3</v>
      </c>
      <c r="F23">
        <v>3</v>
      </c>
    </row>
    <row r="24" spans="1:6">
      <c r="A24" t="s">
        <v>27</v>
      </c>
      <c r="C24">
        <v>1</v>
      </c>
      <c r="F24">
        <v>1</v>
      </c>
    </row>
    <row r="25" spans="1:6">
      <c r="A25" t="s">
        <v>7</v>
      </c>
      <c r="B25">
        <v>21</v>
      </c>
      <c r="C25">
        <v>189</v>
      </c>
      <c r="D25">
        <v>69</v>
      </c>
      <c r="F25">
        <v>279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1"/>
  <sheetViews>
    <sheetView showGridLines="0" tabSelected="1" zoomScale="80" zoomScaleNormal="80" workbookViewId="0">
      <selection activeCell="G287" sqref="G287"/>
    </sheetView>
  </sheetViews>
  <sheetFormatPr defaultColWidth="8.7109375" defaultRowHeight="14.45"/>
  <cols>
    <col min="1" max="1" width="8" style="12" customWidth="1"/>
    <col min="2" max="2" width="32" style="21" customWidth="1"/>
    <col min="3" max="3" width="38.7109375" style="21" customWidth="1"/>
    <col min="4" max="4" width="26.7109375" style="12" customWidth="1"/>
    <col min="5" max="5" width="21" style="12" customWidth="1"/>
    <col min="6" max="6" width="19" style="12" customWidth="1"/>
    <col min="7" max="7" width="30" style="12" customWidth="1"/>
    <col min="8" max="8" width="17" style="16" customWidth="1"/>
    <col min="9" max="9" width="12" style="16" customWidth="1"/>
    <col min="10" max="10" width="37.42578125" style="12" hidden="1" customWidth="1"/>
    <col min="11" max="11" width="0.28515625" style="12" customWidth="1"/>
    <col min="12" max="13" width="22" style="12" hidden="1" customWidth="1"/>
    <col min="14" max="14" width="32.5703125" style="12" hidden="1" customWidth="1"/>
    <col min="15" max="15" width="38.7109375" style="12" bestFit="1" customWidth="1"/>
    <col min="16" max="16" width="27.42578125" style="12" bestFit="1" customWidth="1"/>
    <col min="17" max="16384" width="8.7109375" style="12"/>
  </cols>
  <sheetData>
    <row r="1" spans="1:16" s="25" customFormat="1" ht="15" customHeight="1">
      <c r="A1" s="22" t="s">
        <v>28</v>
      </c>
      <c r="B1" s="2" t="s">
        <v>29</v>
      </c>
      <c r="C1" s="2" t="s">
        <v>30</v>
      </c>
      <c r="D1" s="2" t="s">
        <v>1</v>
      </c>
      <c r="E1" s="22" t="s">
        <v>31</v>
      </c>
      <c r="F1" s="22" t="s">
        <v>2</v>
      </c>
      <c r="G1" s="22" t="s">
        <v>32</v>
      </c>
      <c r="H1" s="23" t="s">
        <v>33</v>
      </c>
      <c r="I1" s="23" t="s">
        <v>34</v>
      </c>
      <c r="J1" s="2" t="s">
        <v>35</v>
      </c>
      <c r="K1" s="24" t="s">
        <v>36</v>
      </c>
      <c r="L1" s="24" t="s">
        <v>37</v>
      </c>
      <c r="M1" s="24" t="s">
        <v>38</v>
      </c>
      <c r="N1" s="22" t="s">
        <v>39</v>
      </c>
      <c r="O1" s="22" t="s">
        <v>40</v>
      </c>
      <c r="P1" s="22" t="s">
        <v>41</v>
      </c>
    </row>
    <row r="2" spans="1:16" ht="20.25" customHeight="1">
      <c r="A2" s="3">
        <f>ROW() - ROW(CertTracker[[#Headers],[Index]])</f>
        <v>1</v>
      </c>
      <c r="B2" s="4" t="s">
        <v>27</v>
      </c>
      <c r="C2" s="26" t="s">
        <v>42</v>
      </c>
      <c r="D2" s="3" t="s">
        <v>4</v>
      </c>
      <c r="E2" s="27" t="s">
        <v>43</v>
      </c>
      <c r="F2" s="4" t="s">
        <v>12</v>
      </c>
      <c r="G2" s="27" t="s">
        <v>44</v>
      </c>
      <c r="H2" s="30">
        <v>46055</v>
      </c>
      <c r="I2" s="30">
        <v>46128</v>
      </c>
      <c r="J2" s="3" t="s">
        <v>45</v>
      </c>
      <c r="K2" s="3"/>
      <c r="L2" s="3"/>
      <c r="M2" s="3"/>
      <c r="N2" s="3"/>
      <c r="O2" s="3"/>
      <c r="P2" s="3" t="s">
        <v>46</v>
      </c>
    </row>
    <row r="3" spans="1:16" ht="20.25" customHeight="1">
      <c r="A3" s="3">
        <f>ROW() - ROW(CertTracker[[#Headers],[Index]])</f>
        <v>2</v>
      </c>
      <c r="B3" s="4" t="s">
        <v>47</v>
      </c>
      <c r="C3" s="26" t="s">
        <v>48</v>
      </c>
      <c r="D3" s="3" t="s">
        <v>4</v>
      </c>
      <c r="E3" s="27" t="s">
        <v>20</v>
      </c>
      <c r="F3" s="4" t="s">
        <v>20</v>
      </c>
      <c r="G3" s="27" t="s">
        <v>49</v>
      </c>
      <c r="H3" s="30">
        <v>46085</v>
      </c>
      <c r="I3" s="30">
        <v>46177</v>
      </c>
      <c r="J3" s="3" t="s">
        <v>50</v>
      </c>
      <c r="K3" s="3"/>
      <c r="L3" s="3"/>
      <c r="M3" s="3"/>
      <c r="N3" s="3"/>
      <c r="O3" s="3"/>
      <c r="P3" s="3" t="s">
        <v>51</v>
      </c>
    </row>
    <row r="4" spans="1:16" ht="20.25" customHeight="1">
      <c r="A4" s="3">
        <f>ROW() - ROW(CertTracker[[#Headers],[Index]])</f>
        <v>3</v>
      </c>
      <c r="B4" s="4" t="s">
        <v>52</v>
      </c>
      <c r="C4" s="26" t="s">
        <v>53</v>
      </c>
      <c r="D4" s="3" t="s">
        <v>5</v>
      </c>
      <c r="E4" s="27" t="s">
        <v>43</v>
      </c>
      <c r="F4" s="4" t="s">
        <v>12</v>
      </c>
      <c r="G4" s="27" t="s">
        <v>44</v>
      </c>
      <c r="H4" s="30">
        <v>46147</v>
      </c>
      <c r="I4" s="30"/>
      <c r="J4" s="3"/>
      <c r="K4" s="3"/>
      <c r="L4" s="3"/>
      <c r="M4" s="3"/>
      <c r="N4" s="3"/>
      <c r="O4" s="3" t="s">
        <v>54</v>
      </c>
      <c r="P4" s="3" t="s">
        <v>46</v>
      </c>
    </row>
    <row r="5" spans="1:16" ht="20.25" customHeight="1">
      <c r="A5" s="3">
        <f>ROW() - ROW(CertTracker[[#Headers],[Index]])</f>
        <v>4</v>
      </c>
      <c r="B5" s="4" t="s">
        <v>55</v>
      </c>
      <c r="C5" s="26" t="s">
        <v>56</v>
      </c>
      <c r="D5" s="3" t="s">
        <v>4</v>
      </c>
      <c r="E5" s="27" t="s">
        <v>57</v>
      </c>
      <c r="F5" s="4" t="s">
        <v>22</v>
      </c>
      <c r="G5" s="27" t="s">
        <v>49</v>
      </c>
      <c r="H5" s="31">
        <v>46146</v>
      </c>
      <c r="I5" s="31">
        <v>46147</v>
      </c>
      <c r="J5" s="13" t="s">
        <v>58</v>
      </c>
      <c r="K5" s="13"/>
      <c r="L5" s="13"/>
      <c r="M5" s="13"/>
      <c r="N5" s="3"/>
      <c r="O5" s="3"/>
      <c r="P5" s="3"/>
    </row>
    <row r="6" spans="1:16" ht="20.25" customHeight="1">
      <c r="A6" s="3">
        <f>ROW() - ROW(CertTracker[[#Headers],[Index]])</f>
        <v>5</v>
      </c>
      <c r="B6" s="4" t="s">
        <v>59</v>
      </c>
      <c r="C6" s="26" t="s">
        <v>60</v>
      </c>
      <c r="D6" s="3" t="s">
        <v>4</v>
      </c>
      <c r="E6" s="27" t="s">
        <v>43</v>
      </c>
      <c r="F6" s="4" t="s">
        <v>12</v>
      </c>
      <c r="G6" s="27" t="s">
        <v>44</v>
      </c>
      <c r="H6" s="30">
        <v>46147</v>
      </c>
      <c r="I6" s="30">
        <v>46207</v>
      </c>
      <c r="J6" s="3"/>
      <c r="K6" s="3"/>
      <c r="L6" s="3"/>
      <c r="M6" s="3"/>
      <c r="N6" s="3"/>
      <c r="O6" s="3"/>
      <c r="P6" s="3" t="s">
        <v>46</v>
      </c>
    </row>
    <row r="7" spans="1:16" ht="20.25" customHeight="1">
      <c r="A7" s="3">
        <f>ROW() - ROW(CertTracker[[#Headers],[Index]])</f>
        <v>6</v>
      </c>
      <c r="B7" s="4" t="s">
        <v>61</v>
      </c>
      <c r="C7" s="26" t="s">
        <v>62</v>
      </c>
      <c r="D7" s="3" t="s">
        <v>4</v>
      </c>
      <c r="E7" s="27" t="s">
        <v>63</v>
      </c>
      <c r="F7" s="4" t="s">
        <v>20</v>
      </c>
      <c r="G7" s="27" t="s">
        <v>49</v>
      </c>
      <c r="H7" s="30"/>
      <c r="I7" s="30">
        <v>46058</v>
      </c>
      <c r="J7" s="3" t="s">
        <v>64</v>
      </c>
      <c r="K7" s="3"/>
      <c r="L7" s="3"/>
      <c r="M7" s="3"/>
      <c r="N7" s="3"/>
      <c r="O7" s="3"/>
      <c r="P7" s="3" t="s">
        <v>51</v>
      </c>
    </row>
    <row r="8" spans="1:16" ht="20.25" customHeight="1">
      <c r="A8" s="3">
        <f>ROW() - ROW(CertTracker[[#Headers],[Index]])</f>
        <v>7</v>
      </c>
      <c r="B8" s="4" t="s">
        <v>65</v>
      </c>
      <c r="C8" s="26" t="s">
        <v>66</v>
      </c>
      <c r="D8" s="3" t="s">
        <v>4</v>
      </c>
      <c r="E8" s="27" t="s">
        <v>63</v>
      </c>
      <c r="F8" s="4" t="s">
        <v>20</v>
      </c>
      <c r="G8" s="27" t="s">
        <v>49</v>
      </c>
      <c r="H8" s="30"/>
      <c r="I8" s="30">
        <v>46058</v>
      </c>
      <c r="J8" s="3" t="s">
        <v>67</v>
      </c>
      <c r="K8" s="3"/>
      <c r="L8" s="3"/>
      <c r="M8" s="3"/>
      <c r="N8" s="3"/>
      <c r="O8" s="3"/>
      <c r="P8" s="3" t="s">
        <v>51</v>
      </c>
    </row>
    <row r="9" spans="1:16" ht="20.25" customHeight="1">
      <c r="A9" s="3">
        <f>ROW() - ROW(CertTracker[[#Headers],[Index]])</f>
        <v>8</v>
      </c>
      <c r="B9" s="4" t="s">
        <v>68</v>
      </c>
      <c r="C9" s="26" t="s">
        <v>69</v>
      </c>
      <c r="D9" s="3" t="s">
        <v>4</v>
      </c>
      <c r="E9" s="27" t="s">
        <v>70</v>
      </c>
      <c r="F9" s="4" t="s">
        <v>12</v>
      </c>
      <c r="G9" s="27" t="s">
        <v>44</v>
      </c>
      <c r="H9" s="30">
        <v>46027</v>
      </c>
      <c r="I9" s="30">
        <v>46028</v>
      </c>
      <c r="J9" s="12" t="s">
        <v>71</v>
      </c>
      <c r="K9" s="14"/>
      <c r="L9" s="14"/>
      <c r="M9" s="14"/>
      <c r="N9" s="3"/>
      <c r="O9" s="3"/>
      <c r="P9" s="3" t="s">
        <v>46</v>
      </c>
    </row>
    <row r="10" spans="1:16" ht="20.25" customHeight="1">
      <c r="A10" s="3">
        <f>ROW() - ROW(CertTracker[[#Headers],[Index]])</f>
        <v>9</v>
      </c>
      <c r="B10" s="4" t="s">
        <v>72</v>
      </c>
      <c r="C10" s="26" t="s">
        <v>73</v>
      </c>
      <c r="D10" s="3" t="s">
        <v>4</v>
      </c>
      <c r="E10" s="27" t="s">
        <v>74</v>
      </c>
      <c r="F10" s="4" t="s">
        <v>14</v>
      </c>
      <c r="G10" s="27" t="s">
        <v>44</v>
      </c>
      <c r="H10" s="30">
        <v>46147</v>
      </c>
      <c r="I10" s="30">
        <v>46152</v>
      </c>
      <c r="J10" s="3" t="s">
        <v>75</v>
      </c>
      <c r="K10" s="3"/>
      <c r="L10" s="3"/>
      <c r="M10" s="3"/>
      <c r="N10" s="3"/>
      <c r="O10" s="3"/>
      <c r="P10" s="3" t="s">
        <v>76</v>
      </c>
    </row>
    <row r="11" spans="1:16" ht="20.25" customHeight="1">
      <c r="A11" s="3">
        <f>ROW() - ROW(CertTracker[[#Headers],[Index]])</f>
        <v>10</v>
      </c>
      <c r="B11" s="4" t="s">
        <v>77</v>
      </c>
      <c r="C11" s="26" t="s">
        <v>78</v>
      </c>
      <c r="D11" s="3" t="s">
        <v>4</v>
      </c>
      <c r="E11" s="27" t="s">
        <v>79</v>
      </c>
      <c r="F11" s="4" t="s">
        <v>20</v>
      </c>
      <c r="G11" s="27" t="s">
        <v>80</v>
      </c>
      <c r="H11" s="30"/>
      <c r="I11" s="30">
        <v>46152</v>
      </c>
      <c r="J11" s="3" t="s">
        <v>81</v>
      </c>
      <c r="K11" s="3"/>
      <c r="L11" s="3"/>
      <c r="M11" s="3"/>
      <c r="N11" s="3"/>
      <c r="O11" s="3"/>
      <c r="P11" s="3" t="s">
        <v>51</v>
      </c>
    </row>
    <row r="12" spans="1:16" ht="20.25" customHeight="1">
      <c r="A12" s="3">
        <f>ROW() - ROW(CertTracker[[#Headers],[Index]])</f>
        <v>11</v>
      </c>
      <c r="B12" s="4" t="s">
        <v>82</v>
      </c>
      <c r="C12" s="26" t="s">
        <v>83</v>
      </c>
      <c r="D12" s="3" t="s">
        <v>4</v>
      </c>
      <c r="E12" s="27" t="s">
        <v>79</v>
      </c>
      <c r="F12" s="4" t="s">
        <v>20</v>
      </c>
      <c r="G12" s="27" t="s">
        <v>80</v>
      </c>
      <c r="H12" s="30"/>
      <c r="I12" s="30">
        <v>45787</v>
      </c>
      <c r="J12" s="3" t="s">
        <v>84</v>
      </c>
      <c r="K12" s="3"/>
      <c r="L12" s="3"/>
      <c r="M12" s="3"/>
      <c r="N12" s="3"/>
      <c r="O12" s="3"/>
      <c r="P12" s="3" t="s">
        <v>51</v>
      </c>
    </row>
    <row r="13" spans="1:16" ht="20.25" customHeight="1">
      <c r="A13" s="3">
        <f>ROW() - ROW(CertTracker[[#Headers],[Index]])</f>
        <v>12</v>
      </c>
      <c r="B13" s="4" t="s">
        <v>85</v>
      </c>
      <c r="C13" s="26" t="s">
        <v>86</v>
      </c>
      <c r="D13" s="3" t="s">
        <v>4</v>
      </c>
      <c r="E13" s="27" t="s">
        <v>87</v>
      </c>
      <c r="F13" s="4" t="s">
        <v>8</v>
      </c>
      <c r="G13" s="27" t="s">
        <v>88</v>
      </c>
      <c r="H13" s="30">
        <v>46143</v>
      </c>
      <c r="I13" s="30">
        <v>46155</v>
      </c>
      <c r="J13" s="3" t="s">
        <v>89</v>
      </c>
      <c r="K13" s="3"/>
      <c r="L13" s="3"/>
      <c r="M13" s="3"/>
      <c r="N13" s="3"/>
      <c r="O13" s="3"/>
      <c r="P13" s="3" t="s">
        <v>90</v>
      </c>
    </row>
    <row r="14" spans="1:16" ht="20.25" customHeight="1">
      <c r="A14" s="3">
        <f>ROW() - ROW(CertTracker[[#Headers],[Index]])</f>
        <v>13</v>
      </c>
      <c r="B14" s="4" t="s">
        <v>91</v>
      </c>
      <c r="C14" s="26" t="s">
        <v>92</v>
      </c>
      <c r="D14" s="3" t="s">
        <v>5</v>
      </c>
      <c r="E14" s="27" t="s">
        <v>14</v>
      </c>
      <c r="F14" s="4" t="s">
        <v>22</v>
      </c>
      <c r="G14" s="27" t="s">
        <v>49</v>
      </c>
      <c r="H14" s="30">
        <v>46154</v>
      </c>
      <c r="I14" s="30"/>
      <c r="J14" s="3"/>
      <c r="K14" s="3"/>
      <c r="L14" s="3"/>
      <c r="M14" s="3"/>
      <c r="N14" s="3"/>
      <c r="O14" s="3" t="s">
        <v>76</v>
      </c>
      <c r="P14" s="3"/>
    </row>
    <row r="15" spans="1:16" ht="20.25" customHeight="1">
      <c r="A15" s="3">
        <f>ROW() - ROW(CertTracker[[#Headers],[Index]])</f>
        <v>14</v>
      </c>
      <c r="B15" s="4" t="s">
        <v>93</v>
      </c>
      <c r="C15" s="26" t="s">
        <v>94</v>
      </c>
      <c r="D15" s="3" t="s">
        <v>3</v>
      </c>
      <c r="E15" s="27" t="s">
        <v>19</v>
      </c>
      <c r="F15" s="4" t="s">
        <v>19</v>
      </c>
      <c r="G15" s="27" t="s">
        <v>95</v>
      </c>
      <c r="H15" s="30">
        <v>46147</v>
      </c>
      <c r="I15" s="30">
        <v>46166</v>
      </c>
      <c r="J15" s="3"/>
      <c r="K15" s="3"/>
      <c r="L15" s="3"/>
      <c r="M15" s="3"/>
      <c r="N15" s="3"/>
      <c r="O15" s="3"/>
      <c r="P15" s="3" t="s">
        <v>96</v>
      </c>
    </row>
    <row r="16" spans="1:16" ht="20.25" customHeight="1">
      <c r="A16" s="3">
        <f>ROW() - ROW(CertTracker[[#Headers],[Index]])</f>
        <v>15</v>
      </c>
      <c r="B16" s="4" t="s">
        <v>97</v>
      </c>
      <c r="C16" s="26" t="s">
        <v>98</v>
      </c>
      <c r="D16" s="3" t="s">
        <v>4</v>
      </c>
      <c r="E16" s="27" t="s">
        <v>19</v>
      </c>
      <c r="F16" s="4" t="s">
        <v>19</v>
      </c>
      <c r="G16" s="27" t="s">
        <v>95</v>
      </c>
      <c r="H16" s="30"/>
      <c r="I16" s="30">
        <v>45789</v>
      </c>
      <c r="J16" s="3" t="s">
        <v>99</v>
      </c>
      <c r="K16" s="3"/>
      <c r="L16" s="3"/>
      <c r="M16" s="3"/>
      <c r="N16" s="3"/>
      <c r="O16" s="3"/>
      <c r="P16" s="3" t="s">
        <v>96</v>
      </c>
    </row>
    <row r="17" spans="1:16" ht="20.25" customHeight="1">
      <c r="A17" s="3">
        <f>ROW() - ROW(CertTracker[[#Headers],[Index]])</f>
        <v>16</v>
      </c>
      <c r="B17" s="4" t="s">
        <v>13</v>
      </c>
      <c r="C17" s="26" t="s">
        <v>100</v>
      </c>
      <c r="D17" s="3" t="s">
        <v>3</v>
      </c>
      <c r="E17" s="27" t="s">
        <v>21</v>
      </c>
      <c r="F17" s="4" t="s">
        <v>13</v>
      </c>
      <c r="G17" s="27" t="s">
        <v>101</v>
      </c>
      <c r="H17" s="30"/>
      <c r="I17" s="30">
        <v>46155</v>
      </c>
      <c r="J17" s="3"/>
      <c r="K17" s="3"/>
      <c r="L17" s="3"/>
      <c r="M17" s="3"/>
      <c r="N17" s="3"/>
      <c r="O17" s="3"/>
      <c r="P17" s="3"/>
    </row>
    <row r="18" spans="1:16" ht="20.25" customHeight="1">
      <c r="A18" s="3">
        <f>ROW() - ROW(CertTracker[[#Headers],[Index]])</f>
        <v>17</v>
      </c>
      <c r="B18" s="4" t="s">
        <v>102</v>
      </c>
      <c r="C18" s="28" t="s">
        <v>103</v>
      </c>
      <c r="D18" s="3" t="s">
        <v>4</v>
      </c>
      <c r="E18" s="27" t="s">
        <v>104</v>
      </c>
      <c r="F18" s="4" t="s">
        <v>16</v>
      </c>
      <c r="G18" s="27" t="s">
        <v>105</v>
      </c>
      <c r="H18" s="30">
        <v>46146</v>
      </c>
      <c r="I18" s="30">
        <v>46161</v>
      </c>
      <c r="J18" s="3" t="s">
        <v>106</v>
      </c>
      <c r="K18" s="3"/>
      <c r="L18" s="3"/>
      <c r="M18" s="3"/>
      <c r="N18" s="3"/>
      <c r="O18" s="3"/>
      <c r="P18" s="3" t="s">
        <v>107</v>
      </c>
    </row>
    <row r="19" spans="1:16" ht="20.25" customHeight="1">
      <c r="A19" s="3">
        <f>ROW() - ROW(CertTracker[[#Headers],[Index]])</f>
        <v>18</v>
      </c>
      <c r="B19" s="4" t="s">
        <v>108</v>
      </c>
      <c r="C19" s="26" t="s">
        <v>109</v>
      </c>
      <c r="D19" s="3" t="s">
        <v>4</v>
      </c>
      <c r="E19" s="27" t="s">
        <v>104</v>
      </c>
      <c r="F19" s="4" t="s">
        <v>16</v>
      </c>
      <c r="G19" s="27" t="s">
        <v>105</v>
      </c>
      <c r="H19" s="30">
        <v>46148</v>
      </c>
      <c r="I19" s="30">
        <v>46165</v>
      </c>
      <c r="J19" s="3" t="s">
        <v>110</v>
      </c>
      <c r="K19" s="3"/>
      <c r="L19" s="3"/>
      <c r="M19" s="3"/>
      <c r="N19" s="3"/>
      <c r="O19" s="3"/>
      <c r="P19" s="3" t="s">
        <v>107</v>
      </c>
    </row>
    <row r="20" spans="1:16" ht="20.25" customHeight="1">
      <c r="A20" s="3">
        <f>ROW() - ROW(CertTracker[[#Headers],[Index]])</f>
        <v>19</v>
      </c>
      <c r="B20" s="26" t="s">
        <v>111</v>
      </c>
      <c r="C20" s="4" t="s">
        <v>112</v>
      </c>
      <c r="D20" s="3" t="s">
        <v>4</v>
      </c>
      <c r="E20" s="27" t="s">
        <v>43</v>
      </c>
      <c r="F20" s="4" t="s">
        <v>12</v>
      </c>
      <c r="G20" s="27" t="s">
        <v>44</v>
      </c>
      <c r="H20" s="30">
        <v>46148</v>
      </c>
      <c r="I20" s="30">
        <v>46240</v>
      </c>
      <c r="J20" s="3"/>
      <c r="K20" s="3"/>
      <c r="L20" s="3"/>
      <c r="M20" s="3"/>
      <c r="N20" s="3"/>
      <c r="O20" s="3"/>
      <c r="P20" s="3" t="s">
        <v>46</v>
      </c>
    </row>
    <row r="21" spans="1:16" ht="20.25" customHeight="1">
      <c r="A21" s="3">
        <f>ROW() - ROW(CertTracker[[#Headers],[Index]])</f>
        <v>20</v>
      </c>
      <c r="B21" s="26" t="s">
        <v>113</v>
      </c>
      <c r="C21" s="4" t="s">
        <v>114</v>
      </c>
      <c r="D21" s="3" t="s">
        <v>4</v>
      </c>
      <c r="E21" s="27" t="s">
        <v>43</v>
      </c>
      <c r="F21" s="4" t="s">
        <v>12</v>
      </c>
      <c r="G21" s="27" t="s">
        <v>44</v>
      </c>
      <c r="H21" s="30">
        <v>46141</v>
      </c>
      <c r="I21" s="30">
        <v>46172</v>
      </c>
      <c r="J21" s="3" t="s">
        <v>115</v>
      </c>
      <c r="K21" s="3"/>
      <c r="L21" s="3"/>
      <c r="M21" s="3"/>
      <c r="N21" s="3"/>
      <c r="O21" s="3"/>
      <c r="P21" s="3" t="s">
        <v>46</v>
      </c>
    </row>
    <row r="22" spans="1:16" ht="20.25" customHeight="1">
      <c r="A22" s="3">
        <f>ROW() - ROW(CertTracker[[#Headers],[Index]])</f>
        <v>21</v>
      </c>
      <c r="B22" s="26" t="s">
        <v>116</v>
      </c>
      <c r="C22" s="4" t="s">
        <v>117</v>
      </c>
      <c r="D22" s="3" t="s">
        <v>5</v>
      </c>
      <c r="E22" s="27" t="s">
        <v>118</v>
      </c>
      <c r="F22" s="4" t="s">
        <v>15</v>
      </c>
      <c r="G22" s="27" t="s">
        <v>119</v>
      </c>
      <c r="H22" s="30">
        <v>46156</v>
      </c>
      <c r="I22" s="30"/>
      <c r="J22" s="3"/>
      <c r="K22" s="3"/>
      <c r="L22" s="3"/>
      <c r="M22" s="3"/>
      <c r="N22" s="3"/>
      <c r="O22" s="3" t="s">
        <v>120</v>
      </c>
      <c r="P22" s="3" t="s">
        <v>121</v>
      </c>
    </row>
    <row r="23" spans="1:16" ht="20.25" customHeight="1">
      <c r="A23" s="3">
        <f>ROW() - ROW(CertTracker[[#Headers],[Index]])</f>
        <v>22</v>
      </c>
      <c r="B23" s="26" t="s">
        <v>122</v>
      </c>
      <c r="C23" s="4" t="s">
        <v>123</v>
      </c>
      <c r="D23" s="3" t="s">
        <v>4</v>
      </c>
      <c r="E23" s="27" t="s">
        <v>124</v>
      </c>
      <c r="F23" s="4" t="s">
        <v>20</v>
      </c>
      <c r="G23" s="27" t="s">
        <v>80</v>
      </c>
      <c r="H23" s="30">
        <v>46157</v>
      </c>
      <c r="I23" s="30">
        <v>46173</v>
      </c>
      <c r="J23" s="3" t="s">
        <v>125</v>
      </c>
      <c r="K23" s="3"/>
      <c r="L23" s="3"/>
      <c r="M23" s="3"/>
      <c r="N23" s="3"/>
      <c r="O23" s="3"/>
      <c r="P23" s="3" t="s">
        <v>51</v>
      </c>
    </row>
    <row r="24" spans="1:16" ht="20.25" customHeight="1">
      <c r="A24" s="3">
        <f>ROW() - ROW(CertTracker[[#Headers],[Index]])</f>
        <v>23</v>
      </c>
      <c r="B24" s="26" t="s">
        <v>126</v>
      </c>
      <c r="C24" s="4" t="s">
        <v>127</v>
      </c>
      <c r="D24" s="3" t="s">
        <v>3</v>
      </c>
      <c r="E24" s="27" t="s">
        <v>128</v>
      </c>
      <c r="F24" s="4" t="s">
        <v>10</v>
      </c>
      <c r="G24" s="27" t="s">
        <v>105</v>
      </c>
      <c r="H24" s="30">
        <v>46146</v>
      </c>
      <c r="I24" s="30"/>
      <c r="J24" s="3"/>
      <c r="K24" s="3"/>
      <c r="L24" s="3"/>
      <c r="M24" s="3"/>
      <c r="N24" s="3"/>
      <c r="O24" s="3"/>
      <c r="P24" s="3"/>
    </row>
    <row r="25" spans="1:16" ht="20.25" customHeight="1">
      <c r="A25" s="3">
        <f>ROW() - ROW(CertTracker[[#Headers],[Index]])</f>
        <v>24</v>
      </c>
      <c r="B25" s="26" t="s">
        <v>129</v>
      </c>
      <c r="C25" s="4" t="s">
        <v>130</v>
      </c>
      <c r="D25" s="10" t="s">
        <v>3</v>
      </c>
      <c r="E25" s="27" t="s">
        <v>118</v>
      </c>
      <c r="F25" s="4" t="s">
        <v>15</v>
      </c>
      <c r="G25" s="27" t="s">
        <v>119</v>
      </c>
      <c r="H25" s="30">
        <v>46153</v>
      </c>
      <c r="I25" s="30"/>
      <c r="J25" s="3"/>
      <c r="K25" s="3"/>
      <c r="L25" s="3"/>
      <c r="M25" s="3"/>
      <c r="N25" s="3"/>
      <c r="O25" s="3"/>
      <c r="P25" s="3" t="s">
        <v>121</v>
      </c>
    </row>
    <row r="26" spans="1:16" ht="20.25" customHeight="1">
      <c r="A26" s="3">
        <f>ROW() - ROW(CertTracker[[#Headers],[Index]])</f>
        <v>25</v>
      </c>
      <c r="B26" s="26" t="s">
        <v>131</v>
      </c>
      <c r="C26" s="4" t="s">
        <v>132</v>
      </c>
      <c r="D26" s="3" t="s">
        <v>4</v>
      </c>
      <c r="E26" s="27" t="s">
        <v>47</v>
      </c>
      <c r="F26" s="4" t="s">
        <v>20</v>
      </c>
      <c r="G26" s="27" t="s">
        <v>49</v>
      </c>
      <c r="H26" s="30">
        <v>46148</v>
      </c>
      <c r="I26" s="30">
        <v>46172</v>
      </c>
      <c r="J26" s="3" t="s">
        <v>133</v>
      </c>
      <c r="K26" s="3"/>
      <c r="L26" s="3"/>
      <c r="M26" s="3"/>
      <c r="N26" s="3"/>
      <c r="O26" s="3"/>
      <c r="P26" s="3" t="s">
        <v>51</v>
      </c>
    </row>
    <row r="27" spans="1:16" ht="20.25" customHeight="1">
      <c r="A27" s="3">
        <f>ROW() - ROW(CertTracker[[#Headers],[Index]])</f>
        <v>26</v>
      </c>
      <c r="B27" s="26" t="s">
        <v>104</v>
      </c>
      <c r="C27" s="4" t="s">
        <v>134</v>
      </c>
      <c r="D27" s="3" t="s">
        <v>4</v>
      </c>
      <c r="E27" s="27" t="s">
        <v>16</v>
      </c>
      <c r="F27" s="4" t="s">
        <v>16</v>
      </c>
      <c r="G27" s="27" t="s">
        <v>101</v>
      </c>
      <c r="H27" s="30">
        <v>46142</v>
      </c>
      <c r="I27" s="30">
        <v>46169</v>
      </c>
      <c r="J27" s="3" t="s">
        <v>135</v>
      </c>
      <c r="K27" s="3"/>
      <c r="L27" s="3"/>
      <c r="M27" s="3"/>
      <c r="N27" s="3"/>
      <c r="O27" s="3"/>
      <c r="P27" s="3" t="s">
        <v>107</v>
      </c>
    </row>
    <row r="28" spans="1:16" ht="20.25" customHeight="1">
      <c r="A28" s="3">
        <f>ROW() - ROW(CertTracker[[#Headers],[Index]])</f>
        <v>27</v>
      </c>
      <c r="B28" s="26" t="s">
        <v>136</v>
      </c>
      <c r="C28" s="4" t="s">
        <v>137</v>
      </c>
      <c r="D28" s="3" t="s">
        <v>4</v>
      </c>
      <c r="E28" s="27" t="s">
        <v>104</v>
      </c>
      <c r="F28" s="4" t="s">
        <v>16</v>
      </c>
      <c r="G28" s="27" t="s">
        <v>105</v>
      </c>
      <c r="H28" s="30">
        <v>46156</v>
      </c>
      <c r="I28" s="30">
        <v>46168</v>
      </c>
      <c r="J28" s="15" t="s">
        <v>138</v>
      </c>
      <c r="K28" s="3"/>
      <c r="L28" s="3"/>
      <c r="M28" s="3"/>
      <c r="N28" s="3"/>
      <c r="O28" s="3"/>
      <c r="P28" s="3" t="s">
        <v>107</v>
      </c>
    </row>
    <row r="29" spans="1:16" ht="20.25" customHeight="1">
      <c r="A29" s="3">
        <f>ROW() - ROW(CertTracker[[#Headers],[Index]])</f>
        <v>28</v>
      </c>
      <c r="B29" s="26" t="s">
        <v>16</v>
      </c>
      <c r="C29" s="4" t="s">
        <v>139</v>
      </c>
      <c r="D29" s="3" t="s">
        <v>5</v>
      </c>
      <c r="E29" s="27" t="s">
        <v>21</v>
      </c>
      <c r="F29" s="4" t="s">
        <v>16</v>
      </c>
      <c r="G29" s="27" t="s">
        <v>101</v>
      </c>
      <c r="H29" s="30">
        <v>46157</v>
      </c>
      <c r="I29" s="30"/>
      <c r="J29" s="3"/>
      <c r="K29" s="3"/>
      <c r="L29" s="3"/>
      <c r="M29" s="3"/>
      <c r="N29" s="3"/>
      <c r="O29" s="3" t="s">
        <v>140</v>
      </c>
      <c r="P29" s="3" t="s">
        <v>107</v>
      </c>
    </row>
    <row r="30" spans="1:16" ht="20.25" customHeight="1">
      <c r="A30" s="3">
        <f>ROW() - ROW(CertTracker[[#Headers],[Index]])</f>
        <v>29</v>
      </c>
      <c r="B30" s="26" t="s">
        <v>141</v>
      </c>
      <c r="C30" s="4" t="s">
        <v>142</v>
      </c>
      <c r="D30" s="3" t="s">
        <v>4</v>
      </c>
      <c r="E30" s="27" t="s">
        <v>143</v>
      </c>
      <c r="F30" s="4" t="s">
        <v>16</v>
      </c>
      <c r="G30" s="27" t="s">
        <v>105</v>
      </c>
      <c r="H30" s="30">
        <v>46155</v>
      </c>
      <c r="I30" s="30">
        <v>46173</v>
      </c>
      <c r="J30" s="3" t="s">
        <v>144</v>
      </c>
      <c r="K30" s="3"/>
      <c r="L30" s="3"/>
      <c r="M30" s="3"/>
      <c r="N30" s="3"/>
      <c r="O30" s="3"/>
      <c r="P30" s="3" t="s">
        <v>107</v>
      </c>
    </row>
    <row r="31" spans="1:16" ht="20.25" customHeight="1">
      <c r="A31" s="3">
        <f>ROW() - ROW(CertTracker[[#Headers],[Index]])</f>
        <v>30</v>
      </c>
      <c r="B31" s="26" t="s">
        <v>145</v>
      </c>
      <c r="C31" s="4" t="s">
        <v>146</v>
      </c>
      <c r="D31" s="3" t="s">
        <v>4</v>
      </c>
      <c r="E31" s="27" t="s">
        <v>20</v>
      </c>
      <c r="F31" s="4" t="s">
        <v>22</v>
      </c>
      <c r="G31" s="27" t="s">
        <v>49</v>
      </c>
      <c r="H31" s="30">
        <v>46153</v>
      </c>
      <c r="I31" s="30"/>
      <c r="J31" s="3"/>
      <c r="K31" s="3"/>
      <c r="L31" s="3"/>
      <c r="M31" s="3"/>
      <c r="N31" s="3"/>
      <c r="O31" s="3"/>
      <c r="P31" s="3"/>
    </row>
    <row r="32" spans="1:16" ht="20.25" customHeight="1">
      <c r="A32" s="3">
        <f>ROW() - ROW(CertTracker[[#Headers],[Index]])</f>
        <v>31</v>
      </c>
      <c r="B32" s="26" t="s">
        <v>147</v>
      </c>
      <c r="C32" s="4" t="s">
        <v>148</v>
      </c>
      <c r="D32" s="3" t="s">
        <v>3</v>
      </c>
      <c r="E32" s="27" t="s">
        <v>21</v>
      </c>
      <c r="F32" s="4" t="s">
        <v>22</v>
      </c>
      <c r="G32" s="27" t="s">
        <v>80</v>
      </c>
      <c r="H32" s="30">
        <v>46153</v>
      </c>
      <c r="I32" s="30">
        <v>46202</v>
      </c>
      <c r="J32" s="3"/>
      <c r="K32" s="3"/>
      <c r="L32" s="3"/>
      <c r="M32" s="3"/>
      <c r="N32" s="3"/>
      <c r="O32" s="3"/>
      <c r="P32" s="3"/>
    </row>
    <row r="33" spans="1:16" ht="20.25" customHeight="1">
      <c r="A33" s="3">
        <f>ROW() - ROW(CertTracker[[#Headers],[Index]])</f>
        <v>32</v>
      </c>
      <c r="B33" s="26" t="s">
        <v>149</v>
      </c>
      <c r="C33" s="4" t="s">
        <v>150</v>
      </c>
      <c r="D33" s="3" t="s">
        <v>4</v>
      </c>
      <c r="E33" s="27" t="s">
        <v>79</v>
      </c>
      <c r="F33" s="4" t="s">
        <v>20</v>
      </c>
      <c r="G33" s="27" t="s">
        <v>80</v>
      </c>
      <c r="H33" s="30">
        <v>46157</v>
      </c>
      <c r="I33" s="30">
        <v>46169</v>
      </c>
      <c r="J33" s="3" t="s">
        <v>151</v>
      </c>
      <c r="K33" s="3"/>
      <c r="L33" s="3"/>
      <c r="M33" s="3"/>
      <c r="N33" s="3"/>
      <c r="O33" s="3"/>
      <c r="P33" s="3" t="s">
        <v>51</v>
      </c>
    </row>
    <row r="34" spans="1:16" ht="20.25" customHeight="1">
      <c r="A34" s="3">
        <f>ROW() - ROW(CertTracker[[#Headers],[Index]])</f>
        <v>33</v>
      </c>
      <c r="B34" s="26" t="s">
        <v>152</v>
      </c>
      <c r="C34" s="4" t="s">
        <v>153</v>
      </c>
      <c r="D34" s="3" t="s">
        <v>4</v>
      </c>
      <c r="E34" s="27" t="s">
        <v>87</v>
      </c>
      <c r="F34" s="4" t="s">
        <v>8</v>
      </c>
      <c r="G34" s="27" t="s">
        <v>105</v>
      </c>
      <c r="H34" s="30">
        <v>46143</v>
      </c>
      <c r="I34" s="30">
        <v>46157</v>
      </c>
      <c r="J34" s="3" t="s">
        <v>154</v>
      </c>
      <c r="K34" s="3"/>
      <c r="L34" s="3"/>
      <c r="M34" s="3"/>
      <c r="N34" s="3"/>
      <c r="O34" s="3"/>
      <c r="P34" s="3" t="s">
        <v>90</v>
      </c>
    </row>
    <row r="35" spans="1:16" ht="20.25" customHeight="1">
      <c r="A35" s="3">
        <f>ROW() - ROW(CertTracker[[#Headers],[Index]])</f>
        <v>34</v>
      </c>
      <c r="B35" s="26" t="s">
        <v>155</v>
      </c>
      <c r="C35" s="4" t="s">
        <v>156</v>
      </c>
      <c r="D35" s="3" t="s">
        <v>4</v>
      </c>
      <c r="E35" s="27" t="s">
        <v>87</v>
      </c>
      <c r="F35" s="4" t="s">
        <v>8</v>
      </c>
      <c r="G35" s="27" t="s">
        <v>105</v>
      </c>
      <c r="H35" s="30">
        <v>46143</v>
      </c>
      <c r="I35" s="30">
        <v>46157</v>
      </c>
      <c r="J35" s="3" t="s">
        <v>157</v>
      </c>
      <c r="K35" s="3"/>
      <c r="L35" s="3"/>
      <c r="M35" s="3"/>
      <c r="N35" s="3"/>
      <c r="O35" s="3"/>
      <c r="P35" s="3" t="s">
        <v>90</v>
      </c>
    </row>
    <row r="36" spans="1:16" ht="20.25" customHeight="1">
      <c r="A36" s="3">
        <f>ROW() - ROW(CertTracker[[#Headers],[Index]])</f>
        <v>35</v>
      </c>
      <c r="B36" s="26" t="s">
        <v>158</v>
      </c>
      <c r="C36" s="4" t="s">
        <v>159</v>
      </c>
      <c r="D36" s="3" t="s">
        <v>4</v>
      </c>
      <c r="E36" s="27" t="s">
        <v>74</v>
      </c>
      <c r="F36" s="4" t="s">
        <v>14</v>
      </c>
      <c r="G36" s="27" t="s">
        <v>44</v>
      </c>
      <c r="H36" s="30">
        <v>46143</v>
      </c>
      <c r="I36" s="30">
        <v>46166</v>
      </c>
      <c r="J36" s="3" t="s">
        <v>160</v>
      </c>
      <c r="K36" s="3"/>
      <c r="L36" s="3"/>
      <c r="M36" s="3"/>
      <c r="N36" s="3"/>
      <c r="O36" s="3"/>
      <c r="P36" s="3" t="s">
        <v>76</v>
      </c>
    </row>
    <row r="37" spans="1:16" ht="20.25" customHeight="1">
      <c r="A37" s="3">
        <f>ROW() - ROW(CertTracker[[#Headers],[Index]])</f>
        <v>36</v>
      </c>
      <c r="B37" s="26" t="s">
        <v>161</v>
      </c>
      <c r="C37" s="4" t="s">
        <v>162</v>
      </c>
      <c r="D37" s="3" t="s">
        <v>5</v>
      </c>
      <c r="E37" s="27" t="s">
        <v>163</v>
      </c>
      <c r="F37" s="4" t="s">
        <v>19</v>
      </c>
      <c r="G37" s="27" t="s">
        <v>95</v>
      </c>
      <c r="H37" s="30">
        <v>46157</v>
      </c>
      <c r="I37" s="30"/>
      <c r="J37" s="3"/>
      <c r="K37" s="3"/>
      <c r="L37" s="3"/>
      <c r="M37" s="3"/>
      <c r="N37" s="3"/>
      <c r="O37" s="3" t="s">
        <v>164</v>
      </c>
      <c r="P37" s="3" t="s">
        <v>96</v>
      </c>
    </row>
    <row r="38" spans="1:16" ht="20.25" customHeight="1">
      <c r="A38" s="3">
        <f>ROW() - ROW(CertTracker[[#Headers],[Index]])</f>
        <v>37</v>
      </c>
      <c r="B38" s="26" t="s">
        <v>165</v>
      </c>
      <c r="C38" s="4" t="s">
        <v>166</v>
      </c>
      <c r="D38" s="3" t="s">
        <v>3</v>
      </c>
      <c r="E38" s="27" t="s">
        <v>143</v>
      </c>
      <c r="F38" s="4" t="s">
        <v>16</v>
      </c>
      <c r="G38" s="27" t="s">
        <v>105</v>
      </c>
      <c r="H38" s="30">
        <v>46157</v>
      </c>
      <c r="I38" s="30">
        <v>46176</v>
      </c>
      <c r="J38" s="3"/>
      <c r="K38" s="3"/>
      <c r="L38" s="3"/>
      <c r="M38" s="3"/>
      <c r="N38" s="3"/>
      <c r="O38" s="3"/>
      <c r="P38" s="3" t="s">
        <v>107</v>
      </c>
    </row>
    <row r="39" spans="1:16" ht="20.25" customHeight="1">
      <c r="A39" s="3">
        <f>ROW() - ROW(CertTracker[[#Headers],[Index]])</f>
        <v>38</v>
      </c>
      <c r="B39" s="26" t="s">
        <v>167</v>
      </c>
      <c r="C39" s="4" t="s">
        <v>168</v>
      </c>
      <c r="D39" s="3" t="s">
        <v>4</v>
      </c>
      <c r="E39" s="27" t="s">
        <v>8</v>
      </c>
      <c r="F39" s="4" t="s">
        <v>8</v>
      </c>
      <c r="G39" s="27" t="s">
        <v>105</v>
      </c>
      <c r="H39" s="30">
        <v>46152</v>
      </c>
      <c r="I39" s="30">
        <v>46170</v>
      </c>
      <c r="J39" s="3" t="s">
        <v>169</v>
      </c>
      <c r="K39" s="3"/>
      <c r="L39" s="3"/>
      <c r="M39" s="3"/>
      <c r="N39" s="3"/>
      <c r="O39" s="3"/>
      <c r="P39" s="3" t="s">
        <v>90</v>
      </c>
    </row>
    <row r="40" spans="1:16" ht="20.25" customHeight="1">
      <c r="A40" s="3">
        <f>ROW() - ROW(CertTracker[[#Headers],[Index]])</f>
        <v>39</v>
      </c>
      <c r="B40" s="26" t="s">
        <v>170</v>
      </c>
      <c r="C40" s="4" t="s">
        <v>171</v>
      </c>
      <c r="D40" s="3" t="s">
        <v>4</v>
      </c>
      <c r="E40" s="27"/>
      <c r="F40" s="4" t="s">
        <v>18</v>
      </c>
      <c r="G40" s="27" t="s">
        <v>44</v>
      </c>
      <c r="H40" s="30">
        <v>46155</v>
      </c>
      <c r="I40" s="30">
        <v>46160</v>
      </c>
      <c r="J40" s="3" t="s">
        <v>172</v>
      </c>
      <c r="K40" s="3"/>
      <c r="L40" s="3"/>
      <c r="M40" s="3"/>
      <c r="N40" s="3"/>
      <c r="O40" s="3"/>
      <c r="P40" s="3"/>
    </row>
    <row r="41" spans="1:16" ht="20.25" customHeight="1">
      <c r="A41" s="3">
        <f>ROW() - ROW(CertTracker[[#Headers],[Index]])</f>
        <v>40</v>
      </c>
      <c r="B41" s="26" t="s">
        <v>173</v>
      </c>
      <c r="C41" s="4" t="s">
        <v>174</v>
      </c>
      <c r="D41" s="3" t="s">
        <v>5</v>
      </c>
      <c r="E41" s="27" t="s">
        <v>19</v>
      </c>
      <c r="F41" s="4" t="s">
        <v>19</v>
      </c>
      <c r="G41" s="27" t="s">
        <v>95</v>
      </c>
      <c r="H41" s="30">
        <v>46156</v>
      </c>
      <c r="I41" s="30"/>
      <c r="J41" s="3"/>
      <c r="K41" s="3"/>
      <c r="L41" s="3"/>
      <c r="M41" s="3"/>
      <c r="N41" s="3"/>
      <c r="O41" s="3" t="s">
        <v>96</v>
      </c>
      <c r="P41" s="3" t="s">
        <v>96</v>
      </c>
    </row>
    <row r="42" spans="1:16" ht="20.25" customHeight="1">
      <c r="A42" s="3">
        <f>ROW() - ROW(CertTracker[[#Headers],[Index]])</f>
        <v>41</v>
      </c>
      <c r="B42" s="26" t="s">
        <v>175</v>
      </c>
      <c r="C42" s="4" t="s">
        <v>176</v>
      </c>
      <c r="D42" s="3" t="s">
        <v>4</v>
      </c>
      <c r="E42" s="27" t="s">
        <v>177</v>
      </c>
      <c r="F42" s="4" t="s">
        <v>8</v>
      </c>
      <c r="G42" s="27" t="s">
        <v>105</v>
      </c>
      <c r="H42" s="30">
        <v>46160</v>
      </c>
      <c r="I42" s="30">
        <v>46172</v>
      </c>
      <c r="J42" s="3" t="s">
        <v>178</v>
      </c>
      <c r="K42" s="3"/>
      <c r="L42" s="3"/>
      <c r="M42" s="3"/>
      <c r="N42" s="3"/>
      <c r="O42" s="3"/>
      <c r="P42" s="3" t="s">
        <v>90</v>
      </c>
    </row>
    <row r="43" spans="1:16" ht="20.25" customHeight="1">
      <c r="A43" s="3">
        <f>ROW() - ROW(CertTracker[[#Headers],[Index]])</f>
        <v>42</v>
      </c>
      <c r="B43" s="26" t="s">
        <v>179</v>
      </c>
      <c r="C43" s="4" t="s">
        <v>180</v>
      </c>
      <c r="D43" s="3" t="s">
        <v>4</v>
      </c>
      <c r="E43" s="27" t="s">
        <v>20</v>
      </c>
      <c r="F43" s="4" t="s">
        <v>21</v>
      </c>
      <c r="G43" s="27" t="s">
        <v>49</v>
      </c>
      <c r="H43" s="30">
        <v>46026</v>
      </c>
      <c r="I43" s="30">
        <v>46161</v>
      </c>
      <c r="J43" s="3" t="s">
        <v>181</v>
      </c>
      <c r="K43" s="3"/>
      <c r="L43" s="3"/>
      <c r="M43" s="3"/>
      <c r="N43" s="3"/>
      <c r="O43" s="3"/>
      <c r="P43" s="3" t="s">
        <v>140</v>
      </c>
    </row>
    <row r="44" spans="1:16" ht="20.25" customHeight="1">
      <c r="A44" s="3"/>
      <c r="B44" s="26"/>
      <c r="C44" s="4"/>
      <c r="D44" s="3"/>
      <c r="E44" s="27"/>
      <c r="F44" s="4"/>
      <c r="G44" s="27"/>
      <c r="H44" s="30"/>
      <c r="I44" s="30"/>
      <c r="J44" s="3"/>
      <c r="K44" s="3"/>
      <c r="L44" s="3"/>
      <c r="M44" s="3"/>
      <c r="N44" s="3"/>
      <c r="O44" s="3"/>
      <c r="P44" s="3"/>
    </row>
    <row r="45" spans="1:16" ht="20.25" customHeight="1">
      <c r="A45" s="3">
        <f>ROW() - ROW(CertTracker[[#Headers],[Index]])</f>
        <v>44</v>
      </c>
      <c r="B45" s="26" t="s">
        <v>182</v>
      </c>
      <c r="C45" s="4" t="s">
        <v>183</v>
      </c>
      <c r="D45" s="3" t="s">
        <v>4</v>
      </c>
      <c r="E45" s="27" t="s">
        <v>9</v>
      </c>
      <c r="F45" s="4" t="s">
        <v>21</v>
      </c>
      <c r="G45" s="27" t="s">
        <v>49</v>
      </c>
      <c r="H45" s="30">
        <v>46152</v>
      </c>
      <c r="I45" s="30">
        <v>46162</v>
      </c>
      <c r="J45" s="3" t="s">
        <v>184</v>
      </c>
      <c r="K45" s="3"/>
      <c r="L45" s="3"/>
      <c r="M45" s="3"/>
      <c r="N45" s="3"/>
      <c r="O45" s="3"/>
      <c r="P45" s="3" t="s">
        <v>140</v>
      </c>
    </row>
    <row r="46" spans="1:16" ht="20.25" customHeight="1">
      <c r="A46" s="3">
        <f>ROW() - ROW(CertTracker[[#Headers],[Index]])</f>
        <v>45</v>
      </c>
      <c r="B46" s="26" t="s">
        <v>185</v>
      </c>
      <c r="C46" s="4" t="s">
        <v>186</v>
      </c>
      <c r="D46" s="3" t="s">
        <v>5</v>
      </c>
      <c r="E46" s="27" t="s">
        <v>8</v>
      </c>
      <c r="F46" s="4" t="s">
        <v>8</v>
      </c>
      <c r="G46" s="27" t="s">
        <v>105</v>
      </c>
      <c r="H46" s="30">
        <v>46167</v>
      </c>
      <c r="I46" s="30"/>
      <c r="J46" s="3"/>
      <c r="K46" s="3"/>
      <c r="L46" s="3"/>
      <c r="M46" s="3"/>
      <c r="N46" s="3"/>
      <c r="O46" s="3" t="s">
        <v>90</v>
      </c>
      <c r="P46" s="3" t="s">
        <v>90</v>
      </c>
    </row>
    <row r="47" spans="1:16" ht="20.25" customHeight="1">
      <c r="A47" s="3">
        <f>ROW() - ROW(CertTracker[[#Headers],[Index]])</f>
        <v>46</v>
      </c>
      <c r="B47" s="26" t="s">
        <v>187</v>
      </c>
      <c r="C47" s="4" t="s">
        <v>188</v>
      </c>
      <c r="D47" s="3" t="s">
        <v>4</v>
      </c>
      <c r="E47" s="27" t="s">
        <v>43</v>
      </c>
      <c r="F47" s="4" t="s">
        <v>12</v>
      </c>
      <c r="G47" s="27" t="s">
        <v>44</v>
      </c>
      <c r="H47" s="30">
        <v>46157</v>
      </c>
      <c r="I47" s="30"/>
      <c r="J47" s="3"/>
      <c r="K47" s="3"/>
      <c r="L47" s="3"/>
      <c r="M47" s="3"/>
      <c r="N47" s="3"/>
      <c r="O47" s="3"/>
      <c r="P47" s="3" t="s">
        <v>46</v>
      </c>
    </row>
    <row r="48" spans="1:16" ht="20.25" customHeight="1">
      <c r="A48" s="3">
        <f>ROW() - ROW(CertTracker[[#Headers],[Index]])</f>
        <v>47</v>
      </c>
      <c r="B48" s="26" t="s">
        <v>189</v>
      </c>
      <c r="C48" s="4" t="s">
        <v>190</v>
      </c>
      <c r="D48" s="3" t="s">
        <v>4</v>
      </c>
      <c r="E48" s="27" t="s">
        <v>19</v>
      </c>
      <c r="F48" s="4" t="s">
        <v>19</v>
      </c>
      <c r="G48" s="27" t="s">
        <v>95</v>
      </c>
      <c r="H48" s="30">
        <v>46153</v>
      </c>
      <c r="I48" s="30">
        <v>46161</v>
      </c>
      <c r="J48" s="3" t="s">
        <v>191</v>
      </c>
      <c r="K48" s="3"/>
      <c r="L48" s="3"/>
      <c r="M48" s="3"/>
      <c r="N48" s="3"/>
      <c r="O48" s="3"/>
      <c r="P48" s="3" t="s">
        <v>96</v>
      </c>
    </row>
    <row r="49" spans="1:16" ht="20.25" customHeight="1">
      <c r="A49" s="3">
        <f>ROW() - ROW(CertTracker[[#Headers],[Index]])</f>
        <v>48</v>
      </c>
      <c r="B49" s="26" t="s">
        <v>192</v>
      </c>
      <c r="C49" s="4" t="s">
        <v>193</v>
      </c>
      <c r="D49" s="3" t="s">
        <v>4</v>
      </c>
      <c r="E49" s="27" t="s">
        <v>194</v>
      </c>
      <c r="F49" s="4" t="s">
        <v>14</v>
      </c>
      <c r="G49" s="27" t="s">
        <v>44</v>
      </c>
      <c r="H49" s="30">
        <v>46155</v>
      </c>
      <c r="I49" s="30">
        <v>46174</v>
      </c>
      <c r="J49" s="3" t="s">
        <v>195</v>
      </c>
      <c r="K49" s="3"/>
      <c r="L49" s="3"/>
      <c r="M49" s="3"/>
      <c r="N49" s="3"/>
      <c r="O49" s="3"/>
      <c r="P49" s="3" t="s">
        <v>76</v>
      </c>
    </row>
    <row r="50" spans="1:16" ht="20.25" customHeight="1">
      <c r="A50" s="3">
        <f>ROW() - ROW(CertTracker[[#Headers],[Index]])</f>
        <v>49</v>
      </c>
      <c r="B50" s="26" t="s">
        <v>196</v>
      </c>
      <c r="C50" s="4" t="s">
        <v>197</v>
      </c>
      <c r="D50" s="3" t="s">
        <v>4</v>
      </c>
      <c r="E50" s="27" t="s">
        <v>19</v>
      </c>
      <c r="F50" s="4" t="s">
        <v>19</v>
      </c>
      <c r="G50" s="27" t="s">
        <v>95</v>
      </c>
      <c r="H50" s="30">
        <v>46153</v>
      </c>
      <c r="I50" s="30">
        <v>46166</v>
      </c>
      <c r="J50" s="3" t="s">
        <v>198</v>
      </c>
      <c r="K50" s="3"/>
      <c r="L50" s="3"/>
      <c r="M50" s="3"/>
      <c r="N50" s="3"/>
      <c r="O50" s="3"/>
      <c r="P50" s="3" t="s">
        <v>96</v>
      </c>
    </row>
    <row r="51" spans="1:16" ht="20.25" customHeight="1">
      <c r="A51" s="3">
        <f>ROW() - ROW(CertTracker[[#Headers],[Index]])</f>
        <v>50</v>
      </c>
      <c r="B51" s="26" t="s">
        <v>199</v>
      </c>
      <c r="C51" s="4" t="s">
        <v>200</v>
      </c>
      <c r="D51" s="3" t="s">
        <v>4</v>
      </c>
      <c r="E51" s="27" t="s">
        <v>179</v>
      </c>
      <c r="F51" s="4" t="s">
        <v>20</v>
      </c>
      <c r="G51" s="27" t="s">
        <v>49</v>
      </c>
      <c r="H51" s="30">
        <v>46143</v>
      </c>
      <c r="I51" s="30">
        <v>46158</v>
      </c>
      <c r="J51" s="12" t="s">
        <v>201</v>
      </c>
      <c r="K51" s="3"/>
      <c r="L51" s="3"/>
      <c r="M51" s="3"/>
      <c r="N51" s="3"/>
      <c r="O51" s="3"/>
      <c r="P51" s="3" t="s">
        <v>51</v>
      </c>
    </row>
    <row r="52" spans="1:16" ht="20.25" customHeight="1">
      <c r="A52" s="3">
        <f>ROW() - ROW(CertTracker[[#Headers],[Index]])</f>
        <v>51</v>
      </c>
      <c r="B52" s="26" t="s">
        <v>202</v>
      </c>
      <c r="C52" s="4" t="s">
        <v>203</v>
      </c>
      <c r="D52" s="3" t="s">
        <v>4</v>
      </c>
      <c r="E52" s="27" t="s">
        <v>204</v>
      </c>
      <c r="F52" s="4" t="s">
        <v>21</v>
      </c>
      <c r="G52" s="27" t="s">
        <v>49</v>
      </c>
      <c r="H52" s="30">
        <v>46153</v>
      </c>
      <c r="I52" s="30">
        <v>46166</v>
      </c>
      <c r="J52" s="3" t="s">
        <v>205</v>
      </c>
      <c r="K52" s="3"/>
      <c r="L52" s="3"/>
      <c r="M52" s="3"/>
      <c r="N52" s="3"/>
      <c r="O52" s="3"/>
      <c r="P52" s="3" t="s">
        <v>140</v>
      </c>
    </row>
    <row r="53" spans="1:16" ht="20.25" customHeight="1">
      <c r="A53" s="3">
        <f>ROW() - ROW(CertTracker[[#Headers],[Index]])</f>
        <v>52</v>
      </c>
      <c r="B53" s="26" t="s">
        <v>206</v>
      </c>
      <c r="C53" s="4" t="s">
        <v>207</v>
      </c>
      <c r="D53" s="3" t="s">
        <v>5</v>
      </c>
      <c r="E53" s="27" t="s">
        <v>179</v>
      </c>
      <c r="F53" s="4" t="s">
        <v>20</v>
      </c>
      <c r="G53" s="27" t="s">
        <v>49</v>
      </c>
      <c r="H53" s="30">
        <v>46160</v>
      </c>
      <c r="I53" s="30"/>
      <c r="J53" s="3"/>
      <c r="K53" s="3"/>
      <c r="L53" s="3"/>
      <c r="M53" s="3"/>
      <c r="N53" s="3"/>
      <c r="O53" s="3" t="s">
        <v>180</v>
      </c>
      <c r="P53" s="3" t="s">
        <v>51</v>
      </c>
    </row>
    <row r="54" spans="1:16" ht="20.25" customHeight="1">
      <c r="A54" s="3">
        <f>ROW() - ROW(CertTracker[[#Headers],[Index]])</f>
        <v>53</v>
      </c>
      <c r="B54" s="26" t="s">
        <v>208</v>
      </c>
      <c r="C54" s="4" t="s">
        <v>209</v>
      </c>
      <c r="D54" s="3" t="s">
        <v>5</v>
      </c>
      <c r="E54" s="27" t="s">
        <v>210</v>
      </c>
      <c r="F54" s="4" t="s">
        <v>8</v>
      </c>
      <c r="G54" s="27" t="s">
        <v>105</v>
      </c>
      <c r="H54" s="30">
        <v>46153</v>
      </c>
      <c r="I54" s="30"/>
      <c r="J54" s="3"/>
      <c r="K54" s="3"/>
      <c r="L54" s="3"/>
      <c r="M54" s="3"/>
      <c r="N54" s="3"/>
      <c r="O54" s="3" t="s">
        <v>211</v>
      </c>
      <c r="P54" s="3" t="s">
        <v>90</v>
      </c>
    </row>
    <row r="55" spans="1:16" ht="20.25" customHeight="1">
      <c r="A55" s="3">
        <f>ROW() - ROW(CertTracker[[#Headers],[Index]])</f>
        <v>54</v>
      </c>
      <c r="B55" s="26" t="s">
        <v>212</v>
      </c>
      <c r="C55" s="4" t="s">
        <v>213</v>
      </c>
      <c r="D55" s="3" t="s">
        <v>4</v>
      </c>
      <c r="E55" s="27" t="s">
        <v>20</v>
      </c>
      <c r="F55" s="4" t="s">
        <v>20</v>
      </c>
      <c r="G55" s="27" t="s">
        <v>49</v>
      </c>
      <c r="H55" s="30">
        <v>46142</v>
      </c>
      <c r="I55" s="30">
        <v>46168</v>
      </c>
      <c r="J55" s="3" t="s">
        <v>214</v>
      </c>
      <c r="K55" s="3"/>
      <c r="L55" s="3"/>
      <c r="M55" s="3"/>
      <c r="N55" s="3"/>
      <c r="O55" s="3"/>
      <c r="P55" s="3" t="s">
        <v>51</v>
      </c>
    </row>
    <row r="56" spans="1:16" ht="20.25" customHeight="1">
      <c r="A56" s="3">
        <f>ROW() - ROW(CertTracker[[#Headers],[Index]])</f>
        <v>55</v>
      </c>
      <c r="B56" s="26" t="s">
        <v>215</v>
      </c>
      <c r="C56" s="4" t="s">
        <v>216</v>
      </c>
      <c r="D56" s="3" t="s">
        <v>3</v>
      </c>
      <c r="E56" s="27" t="s">
        <v>74</v>
      </c>
      <c r="F56" s="4" t="s">
        <v>18</v>
      </c>
      <c r="G56" s="27" t="s">
        <v>44</v>
      </c>
      <c r="H56" s="30">
        <v>46154</v>
      </c>
      <c r="I56" s="30">
        <v>46171</v>
      </c>
      <c r="J56" s="3"/>
      <c r="K56" s="3"/>
      <c r="L56" s="3"/>
      <c r="M56" s="3"/>
      <c r="N56" s="3"/>
      <c r="O56" s="3"/>
      <c r="P56" s="3"/>
    </row>
    <row r="57" spans="1:16" ht="20.25" customHeight="1">
      <c r="A57" s="3">
        <f>ROW() - ROW(CertTracker[[#Headers],[Index]])</f>
        <v>56</v>
      </c>
      <c r="B57" s="26" t="s">
        <v>217</v>
      </c>
      <c r="C57" s="4" t="s">
        <v>218</v>
      </c>
      <c r="D57" s="3" t="s">
        <v>4</v>
      </c>
      <c r="E57" s="27" t="s">
        <v>43</v>
      </c>
      <c r="F57" s="4" t="s">
        <v>12</v>
      </c>
      <c r="G57" s="27" t="s">
        <v>44</v>
      </c>
      <c r="H57" s="30">
        <v>46143</v>
      </c>
      <c r="I57" s="30">
        <v>46200</v>
      </c>
      <c r="J57" s="3"/>
      <c r="K57" s="3"/>
      <c r="L57" s="3"/>
      <c r="M57" s="3"/>
      <c r="N57" s="3"/>
      <c r="O57" s="3"/>
      <c r="P57" s="3" t="s">
        <v>46</v>
      </c>
    </row>
    <row r="58" spans="1:16" ht="20.25" customHeight="1">
      <c r="A58" s="3">
        <f>ROW() - ROW(CertTracker[[#Headers],[Index]])</f>
        <v>57</v>
      </c>
      <c r="B58" s="26" t="s">
        <v>219</v>
      </c>
      <c r="C58" s="4" t="s">
        <v>220</v>
      </c>
      <c r="D58" s="3" t="s">
        <v>5</v>
      </c>
      <c r="E58" s="27" t="s">
        <v>124</v>
      </c>
      <c r="F58" s="4" t="s">
        <v>20</v>
      </c>
      <c r="G58" s="27" t="s">
        <v>80</v>
      </c>
      <c r="H58" s="30">
        <v>46167</v>
      </c>
      <c r="I58" s="30"/>
      <c r="J58" s="3"/>
      <c r="K58" s="3"/>
      <c r="L58" s="3"/>
      <c r="M58" s="3"/>
      <c r="N58" s="3"/>
      <c r="O58" s="3" t="s">
        <v>221</v>
      </c>
      <c r="P58" s="3" t="s">
        <v>51</v>
      </c>
    </row>
    <row r="59" spans="1:16" ht="20.25" customHeight="1">
      <c r="A59" s="3">
        <f>ROW() - ROW(CertTracker[[#Headers],[Index]])</f>
        <v>58</v>
      </c>
      <c r="B59" s="26" t="s">
        <v>222</v>
      </c>
      <c r="C59" s="4" t="s">
        <v>223</v>
      </c>
      <c r="D59" s="3" t="s">
        <v>4</v>
      </c>
      <c r="E59" s="27" t="s">
        <v>224</v>
      </c>
      <c r="F59" s="4" t="s">
        <v>20</v>
      </c>
      <c r="G59" s="27" t="s">
        <v>49</v>
      </c>
      <c r="H59" s="30">
        <v>46168</v>
      </c>
      <c r="I59" s="30">
        <v>46191</v>
      </c>
      <c r="J59" s="3"/>
      <c r="K59" s="3"/>
      <c r="L59" s="3"/>
      <c r="M59" s="3"/>
      <c r="N59" s="3"/>
      <c r="O59" s="3"/>
      <c r="P59" s="3" t="s">
        <v>51</v>
      </c>
    </row>
    <row r="60" spans="1:16" ht="20.25" customHeight="1">
      <c r="A60" s="3">
        <f>ROW() - ROW(CertTracker[[#Headers],[Index]])</f>
        <v>59</v>
      </c>
      <c r="B60" s="26" t="s">
        <v>225</v>
      </c>
      <c r="C60" s="4" t="s">
        <v>226</v>
      </c>
      <c r="D60" s="3" t="s">
        <v>4</v>
      </c>
      <c r="E60" s="27" t="s">
        <v>224</v>
      </c>
      <c r="F60" s="4" t="s">
        <v>20</v>
      </c>
      <c r="G60" s="27" t="s">
        <v>49</v>
      </c>
      <c r="H60" s="30"/>
      <c r="I60" s="30">
        <v>46165</v>
      </c>
      <c r="J60" s="3" t="s">
        <v>227</v>
      </c>
      <c r="K60" s="3"/>
      <c r="L60" s="3"/>
      <c r="M60" s="3"/>
      <c r="N60" s="3"/>
      <c r="O60" s="3"/>
      <c r="P60" s="3" t="s">
        <v>51</v>
      </c>
    </row>
    <row r="61" spans="1:16" ht="20.25" customHeight="1">
      <c r="A61" s="3">
        <f>ROW() - ROW(CertTracker[[#Headers],[Index]])</f>
        <v>60</v>
      </c>
      <c r="B61" s="26" t="s">
        <v>228</v>
      </c>
      <c r="C61" s="4" t="s">
        <v>229</v>
      </c>
      <c r="D61" s="3" t="s">
        <v>5</v>
      </c>
      <c r="E61" s="27" t="s">
        <v>20</v>
      </c>
      <c r="F61" s="4" t="s">
        <v>20</v>
      </c>
      <c r="G61" s="27" t="s">
        <v>49</v>
      </c>
      <c r="H61" s="30">
        <v>46161</v>
      </c>
      <c r="I61" s="30"/>
      <c r="J61" s="3"/>
      <c r="K61" s="3"/>
      <c r="L61" s="3"/>
      <c r="M61" s="3"/>
      <c r="N61" s="3"/>
      <c r="O61" s="3" t="s">
        <v>51</v>
      </c>
      <c r="P61" s="3" t="s">
        <v>51</v>
      </c>
    </row>
    <row r="62" spans="1:16" ht="20.25" customHeight="1">
      <c r="A62" s="3">
        <f>ROW() - ROW(CertTracker[[#Headers],[Index]])</f>
        <v>61</v>
      </c>
      <c r="B62" s="26" t="s">
        <v>230</v>
      </c>
      <c r="C62" s="4" t="s">
        <v>231</v>
      </c>
      <c r="D62" s="3" t="s">
        <v>4</v>
      </c>
      <c r="E62" s="27" t="s">
        <v>79</v>
      </c>
      <c r="F62" s="4" t="s">
        <v>20</v>
      </c>
      <c r="G62" s="27" t="s">
        <v>49</v>
      </c>
      <c r="H62" s="30">
        <v>46149</v>
      </c>
      <c r="I62" s="30">
        <v>46164</v>
      </c>
      <c r="J62" s="3" t="s">
        <v>232</v>
      </c>
      <c r="K62" s="3"/>
      <c r="L62" s="3"/>
      <c r="M62" s="3"/>
      <c r="N62" s="3"/>
      <c r="O62" s="3"/>
      <c r="P62" s="3" t="s">
        <v>51</v>
      </c>
    </row>
    <row r="63" spans="1:16" ht="20.25" customHeight="1">
      <c r="A63" s="3">
        <f>ROW() - ROW(CertTracker[[#Headers],[Index]])</f>
        <v>62</v>
      </c>
      <c r="B63" s="26" t="s">
        <v>233</v>
      </c>
      <c r="C63" s="4" t="s">
        <v>234</v>
      </c>
      <c r="D63" s="3" t="s">
        <v>3</v>
      </c>
      <c r="E63" s="27" t="s">
        <v>74</v>
      </c>
      <c r="F63" s="4" t="s">
        <v>18</v>
      </c>
      <c r="G63" s="27" t="s">
        <v>44</v>
      </c>
      <c r="H63" s="30">
        <v>46160</v>
      </c>
      <c r="I63" s="30"/>
      <c r="J63" s="3"/>
      <c r="K63" s="3"/>
      <c r="L63" s="3"/>
      <c r="M63" s="3"/>
      <c r="N63" s="3"/>
      <c r="O63" s="3"/>
      <c r="P63" s="3"/>
    </row>
    <row r="64" spans="1:16" ht="20.25" customHeight="1">
      <c r="A64" s="3">
        <f>ROW() - ROW(CertTracker[[#Headers],[Index]])</f>
        <v>63</v>
      </c>
      <c r="B64" s="26" t="s">
        <v>235</v>
      </c>
      <c r="C64" s="4" t="s">
        <v>236</v>
      </c>
      <c r="D64" s="3" t="s">
        <v>4</v>
      </c>
      <c r="E64" s="27" t="s">
        <v>143</v>
      </c>
      <c r="F64" s="4" t="s">
        <v>16</v>
      </c>
      <c r="G64" s="27" t="s">
        <v>105</v>
      </c>
      <c r="H64" s="30">
        <v>46184</v>
      </c>
      <c r="I64" s="32">
        <v>46235</v>
      </c>
      <c r="J64" s="3"/>
      <c r="K64" s="3"/>
      <c r="L64" s="3"/>
      <c r="M64" s="3"/>
      <c r="N64" s="3"/>
      <c r="O64" s="3"/>
      <c r="P64" s="3" t="s">
        <v>107</v>
      </c>
    </row>
    <row r="65" spans="1:16" ht="20.25" customHeight="1">
      <c r="A65" s="3">
        <f>ROW() - ROW(CertTracker[[#Headers],[Index]])</f>
        <v>64</v>
      </c>
      <c r="B65" s="26" t="s">
        <v>237</v>
      </c>
      <c r="C65" s="4" t="s">
        <v>238</v>
      </c>
      <c r="D65" s="3" t="s">
        <v>5</v>
      </c>
      <c r="E65" s="27" t="s">
        <v>239</v>
      </c>
      <c r="F65" s="4" t="s">
        <v>21</v>
      </c>
      <c r="G65" s="27"/>
      <c r="H65" s="30">
        <v>46155</v>
      </c>
      <c r="I65" s="30"/>
      <c r="J65" s="3"/>
      <c r="K65" s="3"/>
      <c r="L65" s="3"/>
      <c r="M65" s="3"/>
      <c r="N65" s="3"/>
      <c r="O65" s="3" t="s">
        <v>240</v>
      </c>
      <c r="P65" s="3" t="s">
        <v>140</v>
      </c>
    </row>
    <row r="66" spans="1:16" ht="20.25" customHeight="1">
      <c r="A66" s="3">
        <f>ROW() - ROW(CertTracker[[#Headers],[Index]])</f>
        <v>65</v>
      </c>
      <c r="B66" s="26" t="s">
        <v>241</v>
      </c>
      <c r="C66" s="4" t="s">
        <v>242</v>
      </c>
      <c r="D66" s="3" t="s">
        <v>4</v>
      </c>
      <c r="E66" s="27" t="s">
        <v>87</v>
      </c>
      <c r="F66" s="4" t="s">
        <v>8</v>
      </c>
      <c r="G66" s="27" t="s">
        <v>105</v>
      </c>
      <c r="H66" s="30">
        <v>46157</v>
      </c>
      <c r="I66" s="30">
        <v>46167</v>
      </c>
      <c r="J66" s="3" t="s">
        <v>243</v>
      </c>
      <c r="K66" s="3"/>
      <c r="L66" s="3"/>
      <c r="M66" s="3"/>
      <c r="N66" s="3"/>
      <c r="O66" s="3"/>
      <c r="P66" s="3" t="s">
        <v>90</v>
      </c>
    </row>
    <row r="67" spans="1:16" ht="20.25" customHeight="1">
      <c r="A67" s="3">
        <f>ROW() - ROW(CertTracker[[#Headers],[Index]])</f>
        <v>66</v>
      </c>
      <c r="B67" s="26" t="s">
        <v>244</v>
      </c>
      <c r="C67" s="4" t="s">
        <v>245</v>
      </c>
      <c r="D67" s="3" t="s">
        <v>4</v>
      </c>
      <c r="E67" s="27" t="s">
        <v>19</v>
      </c>
      <c r="F67" s="4" t="s">
        <v>19</v>
      </c>
      <c r="G67" s="27" t="s">
        <v>95</v>
      </c>
      <c r="H67" s="30">
        <v>46143</v>
      </c>
      <c r="I67" s="30">
        <v>46167</v>
      </c>
      <c r="J67" s="3" t="s">
        <v>246</v>
      </c>
      <c r="K67" s="3"/>
      <c r="L67" s="3"/>
      <c r="M67" s="3"/>
      <c r="N67" s="3"/>
      <c r="O67" s="3"/>
      <c r="P67" s="3" t="s">
        <v>96</v>
      </c>
    </row>
    <row r="68" spans="1:16" ht="20.25" customHeight="1">
      <c r="A68" s="3">
        <f>ROW() - ROW(CertTracker[[#Headers],[Index]])</f>
        <v>67</v>
      </c>
      <c r="B68" s="26" t="s">
        <v>247</v>
      </c>
      <c r="C68" s="4" t="s">
        <v>248</v>
      </c>
      <c r="D68" s="3" t="s">
        <v>4</v>
      </c>
      <c r="E68" s="27" t="s">
        <v>47</v>
      </c>
      <c r="F68" s="4" t="s">
        <v>20</v>
      </c>
      <c r="G68" s="27" t="s">
        <v>49</v>
      </c>
      <c r="H68" s="30">
        <v>46157</v>
      </c>
      <c r="I68" s="30">
        <v>46181</v>
      </c>
      <c r="J68" s="3" t="s">
        <v>249</v>
      </c>
      <c r="K68" s="3"/>
      <c r="L68" s="3"/>
      <c r="M68" s="3"/>
      <c r="N68" s="3"/>
      <c r="O68" s="3"/>
      <c r="P68" s="3" t="s">
        <v>51</v>
      </c>
    </row>
    <row r="69" spans="1:16" ht="20.25" customHeight="1">
      <c r="A69" s="3">
        <f>ROW() - ROW(CertTracker[[#Headers],[Index]])</f>
        <v>68</v>
      </c>
      <c r="B69" s="26" t="s">
        <v>250</v>
      </c>
      <c r="C69" s="4" t="s">
        <v>251</v>
      </c>
      <c r="D69" s="3" t="s">
        <v>5</v>
      </c>
      <c r="E69" s="27" t="s">
        <v>252</v>
      </c>
      <c r="F69" s="4" t="s">
        <v>19</v>
      </c>
      <c r="G69" s="27" t="s">
        <v>95</v>
      </c>
      <c r="H69" s="30">
        <v>45778</v>
      </c>
      <c r="I69" s="30">
        <v>46170</v>
      </c>
      <c r="J69" s="3"/>
      <c r="K69" s="3"/>
      <c r="L69" s="3"/>
      <c r="M69" s="3"/>
      <c r="N69" s="3"/>
      <c r="O69" s="3" t="s">
        <v>253</v>
      </c>
      <c r="P69" s="3" t="s">
        <v>96</v>
      </c>
    </row>
    <row r="70" spans="1:16" ht="20.25" customHeight="1">
      <c r="A70" s="3">
        <f>ROW() - ROW(CertTracker[[#Headers],[Index]])</f>
        <v>69</v>
      </c>
      <c r="B70" s="26" t="s">
        <v>254</v>
      </c>
      <c r="C70" s="4" t="s">
        <v>255</v>
      </c>
      <c r="D70" s="3" t="s">
        <v>4</v>
      </c>
      <c r="E70" s="27" t="s">
        <v>104</v>
      </c>
      <c r="F70" s="4" t="s">
        <v>16</v>
      </c>
      <c r="G70" s="27" t="s">
        <v>105</v>
      </c>
      <c r="H70" s="30">
        <v>46167</v>
      </c>
      <c r="I70" s="30" t="s">
        <v>256</v>
      </c>
      <c r="J70" s="3"/>
      <c r="K70" s="3"/>
      <c r="L70" s="3"/>
      <c r="M70" s="3"/>
      <c r="N70" s="3"/>
      <c r="O70" s="3"/>
      <c r="P70" s="3" t="s">
        <v>107</v>
      </c>
    </row>
    <row r="71" spans="1:16" ht="20.25" customHeight="1">
      <c r="A71" s="3">
        <f>ROW() - ROW(CertTracker[[#Headers],[Index]])</f>
        <v>70</v>
      </c>
      <c r="B71" s="26" t="s">
        <v>257</v>
      </c>
      <c r="C71" s="4" t="s">
        <v>258</v>
      </c>
      <c r="D71" s="3" t="s">
        <v>4</v>
      </c>
      <c r="E71" s="27" t="s">
        <v>143</v>
      </c>
      <c r="F71" s="4" t="s">
        <v>16</v>
      </c>
      <c r="G71" s="27" t="s">
        <v>105</v>
      </c>
      <c r="H71" s="30">
        <v>46167</v>
      </c>
      <c r="I71" s="30" t="s">
        <v>256</v>
      </c>
      <c r="J71" s="3"/>
      <c r="K71" s="3"/>
      <c r="L71" s="3"/>
      <c r="M71" s="3"/>
      <c r="N71" s="3"/>
      <c r="O71" s="3"/>
      <c r="P71" s="3" t="s">
        <v>107</v>
      </c>
    </row>
    <row r="72" spans="1:16" ht="20.25" customHeight="1">
      <c r="A72" s="3">
        <f>ROW() - ROW(CertTracker[[#Headers],[Index]])</f>
        <v>71</v>
      </c>
      <c r="B72" s="26" t="s">
        <v>259</v>
      </c>
      <c r="C72" s="4" t="s">
        <v>260</v>
      </c>
      <c r="D72" s="3" t="s">
        <v>4</v>
      </c>
      <c r="E72" s="27" t="s">
        <v>261</v>
      </c>
      <c r="F72" s="4" t="s">
        <v>18</v>
      </c>
      <c r="G72" s="27" t="s">
        <v>44</v>
      </c>
      <c r="H72" s="30"/>
      <c r="I72" s="30">
        <v>46086</v>
      </c>
      <c r="J72" s="3" t="s">
        <v>262</v>
      </c>
      <c r="K72" s="3"/>
      <c r="L72" s="3"/>
      <c r="M72" s="3"/>
      <c r="N72" s="3"/>
      <c r="O72" s="3"/>
      <c r="P72" s="3"/>
    </row>
    <row r="73" spans="1:16" ht="20.25" customHeight="1">
      <c r="A73" s="3">
        <f>ROW() - ROW(CertTracker[[#Headers],[Index]])</f>
        <v>72</v>
      </c>
      <c r="B73" s="26" t="s">
        <v>263</v>
      </c>
      <c r="C73" s="4" t="s">
        <v>264</v>
      </c>
      <c r="D73" s="3" t="s">
        <v>4</v>
      </c>
      <c r="E73" s="27" t="s">
        <v>194</v>
      </c>
      <c r="F73" s="4" t="s">
        <v>18</v>
      </c>
      <c r="G73" s="27" t="s">
        <v>44</v>
      </c>
      <c r="H73" s="30">
        <v>45787</v>
      </c>
      <c r="I73" s="30">
        <v>46173</v>
      </c>
      <c r="J73" s="3"/>
      <c r="K73" s="3"/>
      <c r="L73" s="3"/>
      <c r="M73" s="3"/>
      <c r="N73" s="3"/>
      <c r="O73" s="3"/>
      <c r="P73" s="3"/>
    </row>
    <row r="74" spans="1:16" ht="20.25" customHeight="1">
      <c r="A74" s="3">
        <f>ROW() - ROW(CertTracker[[#Headers],[Index]])</f>
        <v>73</v>
      </c>
      <c r="B74" s="26" t="s">
        <v>265</v>
      </c>
      <c r="C74" s="4" t="s">
        <v>266</v>
      </c>
      <c r="D74" s="3" t="s">
        <v>4</v>
      </c>
      <c r="E74" s="27" t="s">
        <v>19</v>
      </c>
      <c r="F74" s="4" t="s">
        <v>19</v>
      </c>
      <c r="G74" s="27" t="s">
        <v>95</v>
      </c>
      <c r="H74" s="30">
        <v>46144</v>
      </c>
      <c r="I74" s="30">
        <v>46168</v>
      </c>
      <c r="J74" s="3" t="s">
        <v>267</v>
      </c>
      <c r="K74" s="3"/>
      <c r="L74" s="3"/>
      <c r="M74" s="3"/>
      <c r="N74" s="3"/>
      <c r="O74" s="3"/>
      <c r="P74" s="3" t="s">
        <v>96</v>
      </c>
    </row>
    <row r="75" spans="1:16" ht="20.25" customHeight="1">
      <c r="A75" s="3">
        <f>ROW() - ROW(CertTracker[[#Headers],[Index]])</f>
        <v>74</v>
      </c>
      <c r="B75" s="26" t="s">
        <v>268</v>
      </c>
      <c r="C75" s="4" t="s">
        <v>269</v>
      </c>
      <c r="D75" s="3" t="s">
        <v>4</v>
      </c>
      <c r="E75" s="27" t="s">
        <v>20</v>
      </c>
      <c r="F75" s="4" t="s">
        <v>20</v>
      </c>
      <c r="G75" s="27" t="s">
        <v>49</v>
      </c>
      <c r="H75" s="30">
        <v>46153</v>
      </c>
      <c r="I75" s="30">
        <v>46171</v>
      </c>
      <c r="J75" s="3" t="s">
        <v>270</v>
      </c>
      <c r="K75" s="3"/>
      <c r="L75" s="3"/>
      <c r="M75" s="3"/>
      <c r="N75" s="3"/>
      <c r="O75" s="3"/>
      <c r="P75" s="3" t="s">
        <v>51</v>
      </c>
    </row>
    <row r="76" spans="1:16" ht="20.25" customHeight="1">
      <c r="A76" s="3">
        <f>ROW() - ROW(CertTracker[[#Headers],[Index]])</f>
        <v>75</v>
      </c>
      <c r="B76" s="26" t="s">
        <v>271</v>
      </c>
      <c r="C76" s="4" t="s">
        <v>272</v>
      </c>
      <c r="D76" s="3" t="s">
        <v>4</v>
      </c>
      <c r="E76" s="27" t="s">
        <v>19</v>
      </c>
      <c r="F76" s="4" t="s">
        <v>19</v>
      </c>
      <c r="G76" s="27" t="s">
        <v>95</v>
      </c>
      <c r="H76" s="30">
        <v>46140</v>
      </c>
      <c r="I76" s="30">
        <v>46168</v>
      </c>
      <c r="J76" s="3" t="s">
        <v>273</v>
      </c>
      <c r="K76" s="3"/>
      <c r="L76" s="3"/>
      <c r="M76" s="3"/>
      <c r="N76" s="3"/>
      <c r="O76" s="3"/>
      <c r="P76" s="3" t="s">
        <v>96</v>
      </c>
    </row>
    <row r="77" spans="1:16" ht="20.25" customHeight="1">
      <c r="A77" s="3">
        <f>ROW() - ROW(CertTracker[[#Headers],[Index]])</f>
        <v>76</v>
      </c>
      <c r="B77" s="26" t="s">
        <v>274</v>
      </c>
      <c r="C77" s="4" t="s">
        <v>275</v>
      </c>
      <c r="D77" s="3" t="s">
        <v>4</v>
      </c>
      <c r="E77" s="27" t="s">
        <v>276</v>
      </c>
      <c r="F77" s="4" t="s">
        <v>19</v>
      </c>
      <c r="G77" s="27" t="s">
        <v>95</v>
      </c>
      <c r="H77" s="30">
        <v>46157</v>
      </c>
      <c r="I77" s="30"/>
      <c r="J77" s="3"/>
      <c r="K77" s="3"/>
      <c r="L77" s="3"/>
      <c r="M77" s="3"/>
      <c r="N77" s="3"/>
      <c r="O77" s="3"/>
      <c r="P77" s="3" t="s">
        <v>96</v>
      </c>
    </row>
    <row r="78" spans="1:16" ht="20.25" customHeight="1">
      <c r="A78" s="3">
        <f>ROW() - ROW(CertTracker[[#Headers],[Index]])</f>
        <v>77</v>
      </c>
      <c r="B78" s="26" t="s">
        <v>277</v>
      </c>
      <c r="C78" s="4" t="s">
        <v>278</v>
      </c>
      <c r="D78" s="3" t="s">
        <v>4</v>
      </c>
      <c r="E78" s="27" t="s">
        <v>21</v>
      </c>
      <c r="F78" s="4" t="s">
        <v>21</v>
      </c>
      <c r="G78" s="27" t="s">
        <v>49</v>
      </c>
      <c r="H78" s="30">
        <v>46152</v>
      </c>
      <c r="I78" s="30"/>
      <c r="J78" s="3"/>
      <c r="K78" s="3"/>
      <c r="L78" s="3"/>
      <c r="M78" s="3"/>
      <c r="N78" s="3"/>
      <c r="O78" s="3"/>
      <c r="P78" s="3" t="s">
        <v>140</v>
      </c>
    </row>
    <row r="79" spans="1:16" ht="20.25" customHeight="1">
      <c r="A79" s="3">
        <f>ROW() - ROW(CertTracker[[#Headers],[Index]])</f>
        <v>78</v>
      </c>
      <c r="B79" s="26" t="s">
        <v>279</v>
      </c>
      <c r="C79" s="4" t="s">
        <v>280</v>
      </c>
      <c r="D79" s="3" t="s">
        <v>5</v>
      </c>
      <c r="E79" s="27" t="s">
        <v>9</v>
      </c>
      <c r="F79" s="4" t="s">
        <v>21</v>
      </c>
      <c r="G79" s="27" t="s">
        <v>49</v>
      </c>
      <c r="H79" s="30">
        <v>46157</v>
      </c>
      <c r="I79" s="30"/>
      <c r="J79" s="3"/>
      <c r="K79" s="3"/>
      <c r="L79" s="3"/>
      <c r="M79" s="3"/>
      <c r="N79" s="3"/>
      <c r="O79" s="3" t="s">
        <v>281</v>
      </c>
      <c r="P79" s="3" t="s">
        <v>140</v>
      </c>
    </row>
    <row r="80" spans="1:16" ht="20.25" customHeight="1">
      <c r="A80" s="3">
        <f>ROW() - ROW(CertTracker[[#Headers],[Index]])</f>
        <v>79</v>
      </c>
      <c r="B80" s="26" t="s">
        <v>282</v>
      </c>
      <c r="C80" s="4" t="s">
        <v>283</v>
      </c>
      <c r="D80" s="3" t="s">
        <v>4</v>
      </c>
      <c r="E80" s="27" t="s">
        <v>194</v>
      </c>
      <c r="F80" s="4" t="s">
        <v>14</v>
      </c>
      <c r="G80" s="27" t="s">
        <v>44</v>
      </c>
      <c r="H80" s="30"/>
      <c r="I80" s="30">
        <v>46169</v>
      </c>
      <c r="J80" s="3" t="s">
        <v>284</v>
      </c>
      <c r="K80" s="3"/>
      <c r="L80" s="3"/>
      <c r="M80" s="3"/>
      <c r="N80" s="3"/>
      <c r="O80" s="3"/>
      <c r="P80" s="3" t="s">
        <v>76</v>
      </c>
    </row>
    <row r="81" spans="1:16" ht="20.25" customHeight="1">
      <c r="A81" s="3">
        <f>ROW() - ROW(CertTracker[[#Headers],[Index]])</f>
        <v>80</v>
      </c>
      <c r="B81" s="26" t="s">
        <v>285</v>
      </c>
      <c r="C81" s="4" t="s">
        <v>286</v>
      </c>
      <c r="D81" s="3" t="s">
        <v>4</v>
      </c>
      <c r="E81" s="27" t="s">
        <v>43</v>
      </c>
      <c r="F81" s="4" t="s">
        <v>12</v>
      </c>
      <c r="G81" s="27" t="s">
        <v>44</v>
      </c>
      <c r="H81" s="30">
        <v>46169</v>
      </c>
      <c r="I81" s="30"/>
      <c r="J81" s="3"/>
      <c r="K81" s="3"/>
      <c r="L81" s="3"/>
      <c r="M81" s="3"/>
      <c r="N81" s="3"/>
      <c r="O81" s="3"/>
      <c r="P81" s="3" t="s">
        <v>46</v>
      </c>
    </row>
    <row r="82" spans="1:16" ht="20.25" customHeight="1">
      <c r="A82" s="3">
        <f>ROW() - ROW(CertTracker[[#Headers],[Index]])</f>
        <v>81</v>
      </c>
      <c r="B82" s="26" t="s">
        <v>79</v>
      </c>
      <c r="C82" s="4" t="s">
        <v>287</v>
      </c>
      <c r="D82" s="3" t="s">
        <v>4</v>
      </c>
      <c r="E82" s="27" t="s">
        <v>228</v>
      </c>
      <c r="F82" s="4" t="s">
        <v>20</v>
      </c>
      <c r="G82" s="27" t="s">
        <v>49</v>
      </c>
      <c r="H82" s="30">
        <v>46167</v>
      </c>
      <c r="I82" s="30">
        <v>46173</v>
      </c>
      <c r="J82" s="3" t="s">
        <v>288</v>
      </c>
      <c r="K82" s="3"/>
      <c r="L82" s="3"/>
      <c r="M82" s="3"/>
      <c r="N82" s="3"/>
      <c r="O82" s="3"/>
      <c r="P82" s="3" t="s">
        <v>51</v>
      </c>
    </row>
    <row r="83" spans="1:16" ht="20.25" customHeight="1">
      <c r="A83" s="3">
        <f>ROW() - ROW(CertTracker[[#Headers],[Index]])</f>
        <v>82</v>
      </c>
      <c r="B83" s="26" t="s">
        <v>289</v>
      </c>
      <c r="C83" s="4" t="s">
        <v>290</v>
      </c>
      <c r="D83" s="3" t="s">
        <v>4</v>
      </c>
      <c r="E83" s="27" t="s">
        <v>14</v>
      </c>
      <c r="F83" s="4" t="s">
        <v>22</v>
      </c>
      <c r="G83" s="27" t="s">
        <v>44</v>
      </c>
      <c r="H83" s="30">
        <v>46167</v>
      </c>
      <c r="I83" s="30">
        <v>46217</v>
      </c>
      <c r="J83" s="3"/>
      <c r="K83" s="3"/>
      <c r="L83" s="3"/>
      <c r="M83" s="3"/>
      <c r="N83" s="3"/>
      <c r="O83" s="3"/>
      <c r="P83" s="3"/>
    </row>
    <row r="84" spans="1:16" ht="20.25" customHeight="1">
      <c r="A84" s="3">
        <f>ROW() - ROW(CertTracker[[#Headers],[Index]])</f>
        <v>83</v>
      </c>
      <c r="B84" s="26" t="s">
        <v>291</v>
      </c>
      <c r="C84" s="4" t="s">
        <v>292</v>
      </c>
      <c r="D84" s="3" t="s">
        <v>3</v>
      </c>
      <c r="E84" s="27" t="s">
        <v>252</v>
      </c>
      <c r="F84" s="4" t="s">
        <v>19</v>
      </c>
      <c r="G84" s="27" t="s">
        <v>95</v>
      </c>
      <c r="H84" s="30">
        <v>46174</v>
      </c>
      <c r="I84" s="30"/>
      <c r="J84" s="3"/>
      <c r="K84" s="3"/>
      <c r="L84" s="3"/>
      <c r="M84" s="3"/>
      <c r="N84" s="3"/>
      <c r="O84" s="3"/>
      <c r="P84" s="3" t="s">
        <v>96</v>
      </c>
    </row>
    <row r="85" spans="1:16" ht="20.25" customHeight="1">
      <c r="A85" s="3">
        <f>ROW() - ROW(CertTracker[[#Headers],[Index]])</f>
        <v>84</v>
      </c>
      <c r="B85" s="26" t="s">
        <v>293</v>
      </c>
      <c r="C85" s="4" t="s">
        <v>294</v>
      </c>
      <c r="D85" s="3" t="s">
        <v>4</v>
      </c>
      <c r="E85" s="27" t="s">
        <v>13</v>
      </c>
      <c r="F85" s="4" t="s">
        <v>13</v>
      </c>
      <c r="G85" s="27" t="s">
        <v>105</v>
      </c>
      <c r="H85" s="30">
        <v>46162</v>
      </c>
      <c r="I85" s="30">
        <v>46176</v>
      </c>
      <c r="J85" s="3" t="s">
        <v>295</v>
      </c>
      <c r="K85" s="3"/>
      <c r="L85" s="3"/>
      <c r="M85" s="3"/>
      <c r="N85" s="3"/>
      <c r="O85" s="3"/>
      <c r="P85" s="3"/>
    </row>
    <row r="86" spans="1:16" ht="20.25" customHeight="1">
      <c r="A86" s="3">
        <f>ROW() - ROW(CertTracker[[#Headers],[Index]])</f>
        <v>85</v>
      </c>
      <c r="B86" s="26" t="s">
        <v>296</v>
      </c>
      <c r="C86" s="4" t="s">
        <v>297</v>
      </c>
      <c r="D86" s="3" t="s">
        <v>3</v>
      </c>
      <c r="E86" s="27" t="s">
        <v>20</v>
      </c>
      <c r="F86" s="4" t="s">
        <v>22</v>
      </c>
      <c r="G86" s="27" t="s">
        <v>49</v>
      </c>
      <c r="H86" s="30">
        <v>46174</v>
      </c>
      <c r="I86" s="30"/>
      <c r="J86" s="3"/>
      <c r="K86" s="3"/>
      <c r="L86" s="3"/>
      <c r="M86" s="3"/>
      <c r="N86" s="3"/>
      <c r="O86" s="3"/>
      <c r="P86" s="3"/>
    </row>
    <row r="87" spans="1:16" ht="20.25" customHeight="1">
      <c r="A87" s="3">
        <f>ROW() - ROW(CertTracker[[#Headers],[Index]])</f>
        <v>86</v>
      </c>
      <c r="B87" s="26" t="s">
        <v>298</v>
      </c>
      <c r="C87" s="4" t="s">
        <v>299</v>
      </c>
      <c r="D87" s="3" t="s">
        <v>4</v>
      </c>
      <c r="E87" s="27" t="s">
        <v>124</v>
      </c>
      <c r="F87" s="4" t="s">
        <v>20</v>
      </c>
      <c r="G87" s="27" t="s">
        <v>49</v>
      </c>
      <c r="H87" s="30"/>
      <c r="I87" s="30">
        <v>46174</v>
      </c>
      <c r="J87" s="3" t="s">
        <v>300</v>
      </c>
      <c r="K87" s="3"/>
      <c r="L87" s="3"/>
      <c r="M87" s="3"/>
      <c r="N87" s="3"/>
      <c r="O87" s="3"/>
      <c r="P87" s="3" t="s">
        <v>51</v>
      </c>
    </row>
    <row r="88" spans="1:16" ht="20.25" customHeight="1">
      <c r="A88" s="3">
        <f>ROW() - ROW(CertTracker[[#Headers],[Index]])</f>
        <v>87</v>
      </c>
      <c r="B88" s="26" t="s">
        <v>301</v>
      </c>
      <c r="C88" s="4" t="s">
        <v>302</v>
      </c>
      <c r="D88" s="3" t="s">
        <v>4</v>
      </c>
      <c r="E88" s="27" t="s">
        <v>194</v>
      </c>
      <c r="F88" s="4" t="s">
        <v>14</v>
      </c>
      <c r="G88" s="27" t="s">
        <v>44</v>
      </c>
      <c r="H88" s="30">
        <v>46160</v>
      </c>
      <c r="I88" s="30">
        <v>46173</v>
      </c>
      <c r="J88" s="3" t="s">
        <v>303</v>
      </c>
      <c r="K88" s="3"/>
      <c r="L88" s="3"/>
      <c r="M88" s="3"/>
      <c r="N88" s="3"/>
      <c r="O88" s="3"/>
      <c r="P88" s="3" t="s">
        <v>76</v>
      </c>
    </row>
    <row r="89" spans="1:16" ht="20.25" customHeight="1">
      <c r="A89" s="3">
        <f>ROW() - ROW(CertTracker[[#Headers],[Index]])</f>
        <v>88</v>
      </c>
      <c r="B89" s="26" t="s">
        <v>304</v>
      </c>
      <c r="C89" s="4" t="s">
        <v>305</v>
      </c>
      <c r="D89" s="3" t="s">
        <v>4</v>
      </c>
      <c r="E89" s="27" t="s">
        <v>194</v>
      </c>
      <c r="F89" s="4" t="s">
        <v>18</v>
      </c>
      <c r="G89" s="27" t="s">
        <v>44</v>
      </c>
      <c r="H89" s="30">
        <v>46167</v>
      </c>
      <c r="I89" s="30">
        <v>46193</v>
      </c>
      <c r="J89" s="3"/>
      <c r="K89" s="3"/>
      <c r="L89" s="3"/>
      <c r="M89" s="3"/>
      <c r="N89" s="3"/>
      <c r="O89" s="3"/>
      <c r="P89" s="3"/>
    </row>
    <row r="90" spans="1:16" ht="20.25" customHeight="1">
      <c r="A90" s="3">
        <f>ROW() - ROW(CertTracker[[#Headers],[Index]])</f>
        <v>89</v>
      </c>
      <c r="B90" s="26" t="s">
        <v>306</v>
      </c>
      <c r="C90" s="4" t="s">
        <v>307</v>
      </c>
      <c r="D90" s="3" t="s">
        <v>4</v>
      </c>
      <c r="E90" s="27" t="s">
        <v>194</v>
      </c>
      <c r="F90" s="4" t="s">
        <v>18</v>
      </c>
      <c r="G90" s="27" t="s">
        <v>44</v>
      </c>
      <c r="H90" s="30"/>
      <c r="I90" s="30">
        <v>46190</v>
      </c>
      <c r="J90" s="3"/>
      <c r="K90" s="3"/>
      <c r="L90" s="3"/>
      <c r="M90" s="3"/>
      <c r="N90" s="3"/>
      <c r="O90" s="3"/>
      <c r="P90" s="3"/>
    </row>
    <row r="91" spans="1:16" ht="20.25" customHeight="1">
      <c r="A91" s="3">
        <f>ROW() - ROW(CertTracker[[#Headers],[Index]])</f>
        <v>90</v>
      </c>
      <c r="B91" s="26" t="s">
        <v>252</v>
      </c>
      <c r="C91" s="4" t="s">
        <v>253</v>
      </c>
      <c r="D91" s="3" t="s">
        <v>5</v>
      </c>
      <c r="E91" s="27" t="s">
        <v>19</v>
      </c>
      <c r="F91" s="4" t="s">
        <v>19</v>
      </c>
      <c r="G91" s="27" t="s">
        <v>95</v>
      </c>
      <c r="H91" s="30">
        <v>46174</v>
      </c>
      <c r="I91" s="30">
        <v>46203</v>
      </c>
      <c r="J91" s="3"/>
      <c r="K91" s="3"/>
      <c r="L91" s="3"/>
      <c r="M91" s="3"/>
      <c r="N91" s="3"/>
      <c r="O91" s="3" t="s">
        <v>96</v>
      </c>
      <c r="P91" s="3" t="s">
        <v>96</v>
      </c>
    </row>
    <row r="92" spans="1:16" ht="20.25" customHeight="1">
      <c r="A92" s="3">
        <f>ROW() - ROW(CertTracker[[#Headers],[Index]])</f>
        <v>91</v>
      </c>
      <c r="B92" s="26" t="s">
        <v>308</v>
      </c>
      <c r="C92" s="4" t="s">
        <v>309</v>
      </c>
      <c r="D92" s="3" t="s">
        <v>5</v>
      </c>
      <c r="E92" s="27" t="s">
        <v>252</v>
      </c>
      <c r="F92" s="4" t="s">
        <v>19</v>
      </c>
      <c r="G92" s="27" t="s">
        <v>95</v>
      </c>
      <c r="H92" s="30">
        <v>46174</v>
      </c>
      <c r="I92" s="30">
        <v>46203</v>
      </c>
      <c r="J92" s="3"/>
      <c r="K92" s="3"/>
      <c r="L92" s="3"/>
      <c r="M92" s="3"/>
      <c r="N92" s="3"/>
      <c r="O92" s="3" t="s">
        <v>253</v>
      </c>
      <c r="P92" s="3" t="s">
        <v>96</v>
      </c>
    </row>
    <row r="93" spans="1:16" ht="20.25" customHeight="1">
      <c r="A93" s="3">
        <f>ROW() - ROW(CertTracker[[#Headers],[Index]])</f>
        <v>92</v>
      </c>
      <c r="B93" s="26" t="s">
        <v>310</v>
      </c>
      <c r="C93" s="4" t="s">
        <v>311</v>
      </c>
      <c r="D93" s="3" t="s">
        <v>4</v>
      </c>
      <c r="E93" s="27" t="s">
        <v>252</v>
      </c>
      <c r="F93" s="4" t="s">
        <v>19</v>
      </c>
      <c r="G93" s="27" t="s">
        <v>95</v>
      </c>
      <c r="H93" s="30">
        <v>46174</v>
      </c>
      <c r="I93" s="30">
        <v>46202</v>
      </c>
      <c r="J93" s="3"/>
      <c r="K93" s="3"/>
      <c r="L93" s="3"/>
      <c r="M93" s="3"/>
      <c r="N93" s="3"/>
      <c r="O93" s="3"/>
      <c r="P93" s="3" t="s">
        <v>96</v>
      </c>
    </row>
    <row r="94" spans="1:16" ht="20.25" customHeight="1">
      <c r="A94" s="3">
        <f>ROW() - ROW(CertTracker[[#Headers],[Index]])</f>
        <v>93</v>
      </c>
      <c r="B94" s="26" t="s">
        <v>312</v>
      </c>
      <c r="C94" s="4" t="s">
        <v>313</v>
      </c>
      <c r="D94" s="3" t="s">
        <v>5</v>
      </c>
      <c r="E94" s="27" t="s">
        <v>252</v>
      </c>
      <c r="F94" s="4" t="s">
        <v>19</v>
      </c>
      <c r="G94" s="27" t="s">
        <v>95</v>
      </c>
      <c r="H94" s="30">
        <v>46174</v>
      </c>
      <c r="I94" s="30">
        <v>46203</v>
      </c>
      <c r="J94" s="3"/>
      <c r="K94" s="3"/>
      <c r="L94" s="3"/>
      <c r="M94" s="3"/>
      <c r="N94" s="3"/>
      <c r="O94" s="3" t="s">
        <v>253</v>
      </c>
      <c r="P94" s="3" t="s">
        <v>96</v>
      </c>
    </row>
    <row r="95" spans="1:16" ht="20.25" customHeight="1">
      <c r="A95" s="3">
        <f>ROW() - ROW(CertTracker[[#Headers],[Index]])</f>
        <v>94</v>
      </c>
      <c r="B95" s="26" t="s">
        <v>314</v>
      </c>
      <c r="C95" s="4" t="s">
        <v>315</v>
      </c>
      <c r="D95" s="3" t="s">
        <v>5</v>
      </c>
      <c r="E95" s="27" t="s">
        <v>252</v>
      </c>
      <c r="F95" s="4" t="s">
        <v>19</v>
      </c>
      <c r="G95" s="27" t="s">
        <v>49</v>
      </c>
      <c r="H95" s="30">
        <v>46174</v>
      </c>
      <c r="I95" s="30">
        <v>46203</v>
      </c>
      <c r="J95" s="3"/>
      <c r="K95" s="3"/>
      <c r="L95" s="3"/>
      <c r="M95" s="3"/>
      <c r="N95" s="3"/>
      <c r="O95" s="3" t="s">
        <v>253</v>
      </c>
      <c r="P95" s="3" t="s">
        <v>96</v>
      </c>
    </row>
    <row r="96" spans="1:16" ht="20.25" customHeight="1">
      <c r="A96" s="3">
        <f>ROW() - ROW(CertTracker[[#Headers],[Index]])</f>
        <v>95</v>
      </c>
      <c r="B96" s="26" t="s">
        <v>316</v>
      </c>
      <c r="C96" s="4" t="s">
        <v>317</v>
      </c>
      <c r="D96" s="3" t="s">
        <v>5</v>
      </c>
      <c r="E96" s="27" t="s">
        <v>252</v>
      </c>
      <c r="F96" s="4" t="s">
        <v>19</v>
      </c>
      <c r="G96" s="27" t="s">
        <v>49</v>
      </c>
      <c r="H96" s="30">
        <v>46174</v>
      </c>
      <c r="I96" s="30">
        <v>46215</v>
      </c>
      <c r="J96" s="3"/>
      <c r="K96" s="3"/>
      <c r="L96" s="3"/>
      <c r="M96" s="3"/>
      <c r="N96" s="3"/>
      <c r="O96" s="3" t="s">
        <v>253</v>
      </c>
      <c r="P96" s="3" t="s">
        <v>96</v>
      </c>
    </row>
    <row r="97" spans="1:16" ht="20.25" customHeight="1">
      <c r="A97" s="3">
        <f>ROW() - ROW(CertTracker[[#Headers],[Index]])</f>
        <v>96</v>
      </c>
      <c r="B97" s="26" t="s">
        <v>318</v>
      </c>
      <c r="C97" s="4" t="s">
        <v>319</v>
      </c>
      <c r="D97" s="3" t="s">
        <v>5</v>
      </c>
      <c r="E97" s="27" t="s">
        <v>252</v>
      </c>
      <c r="F97" s="4" t="s">
        <v>19</v>
      </c>
      <c r="G97" s="27" t="s">
        <v>95</v>
      </c>
      <c r="H97" s="30">
        <v>46174</v>
      </c>
      <c r="I97" s="30">
        <v>46203</v>
      </c>
      <c r="J97" s="3"/>
      <c r="K97" s="3"/>
      <c r="L97" s="3"/>
      <c r="M97" s="3"/>
      <c r="N97" s="3"/>
      <c r="O97" s="3" t="s">
        <v>253</v>
      </c>
      <c r="P97" s="3" t="s">
        <v>96</v>
      </c>
    </row>
    <row r="98" spans="1:16" ht="20.25" customHeight="1">
      <c r="A98" s="3">
        <f>ROW() - ROW(CertTracker[[#Headers],[Index]])</f>
        <v>97</v>
      </c>
      <c r="B98" s="26" t="s">
        <v>320</v>
      </c>
      <c r="C98" s="4" t="s">
        <v>321</v>
      </c>
      <c r="D98" s="3" t="s">
        <v>5</v>
      </c>
      <c r="E98" s="27" t="s">
        <v>252</v>
      </c>
      <c r="F98" s="4" t="s">
        <v>19</v>
      </c>
      <c r="G98" s="27" t="s">
        <v>322</v>
      </c>
      <c r="H98" s="30">
        <v>46174</v>
      </c>
      <c r="I98" s="30">
        <v>46203</v>
      </c>
      <c r="J98" s="3"/>
      <c r="K98" s="3"/>
      <c r="L98" s="3"/>
      <c r="M98" s="3"/>
      <c r="N98" s="3"/>
      <c r="O98" s="3" t="s">
        <v>253</v>
      </c>
      <c r="P98" s="3" t="s">
        <v>96</v>
      </c>
    </row>
    <row r="99" spans="1:16" ht="20.25" customHeight="1">
      <c r="A99" s="3">
        <f>ROW() - ROW(CertTracker[[#Headers],[Index]])</f>
        <v>98</v>
      </c>
      <c r="B99" s="26" t="s">
        <v>323</v>
      </c>
      <c r="C99" s="4" t="s">
        <v>324</v>
      </c>
      <c r="D99" s="3" t="s">
        <v>5</v>
      </c>
      <c r="E99" s="27" t="s">
        <v>252</v>
      </c>
      <c r="F99" s="4" t="s">
        <v>19</v>
      </c>
      <c r="G99" s="27" t="s">
        <v>95</v>
      </c>
      <c r="H99" s="30">
        <v>46174</v>
      </c>
      <c r="I99" s="30">
        <v>46203</v>
      </c>
      <c r="J99" s="3"/>
      <c r="K99" s="3"/>
      <c r="L99" s="3"/>
      <c r="M99" s="3"/>
      <c r="N99" s="3"/>
      <c r="O99" s="3" t="s">
        <v>253</v>
      </c>
      <c r="P99" s="3" t="s">
        <v>96</v>
      </c>
    </row>
    <row r="100" spans="1:16" ht="20.25" customHeight="1">
      <c r="A100" s="3">
        <f>ROW() - ROW(CertTracker[[#Headers],[Index]])</f>
        <v>99</v>
      </c>
      <c r="B100" s="26" t="s">
        <v>325</v>
      </c>
      <c r="C100" s="4" t="s">
        <v>326</v>
      </c>
      <c r="D100" s="3" t="s">
        <v>5</v>
      </c>
      <c r="E100" s="27" t="s">
        <v>252</v>
      </c>
      <c r="F100" s="4" t="s">
        <v>19</v>
      </c>
      <c r="G100" s="27" t="s">
        <v>95</v>
      </c>
      <c r="H100" s="30">
        <v>46174</v>
      </c>
      <c r="I100" s="30">
        <v>46203</v>
      </c>
      <c r="J100" s="3"/>
      <c r="K100" s="3"/>
      <c r="L100" s="3"/>
      <c r="M100" s="3"/>
      <c r="N100" s="3"/>
      <c r="O100" s="3" t="s">
        <v>253</v>
      </c>
      <c r="P100" s="3" t="s">
        <v>96</v>
      </c>
    </row>
    <row r="101" spans="1:16" ht="20.25" customHeight="1">
      <c r="A101" s="3">
        <f>ROW() - ROW(CertTracker[[#Headers],[Index]])</f>
        <v>100</v>
      </c>
      <c r="B101" s="26" t="s">
        <v>327</v>
      </c>
      <c r="C101" s="4" t="s">
        <v>328</v>
      </c>
      <c r="D101" s="3" t="s">
        <v>5</v>
      </c>
      <c r="E101" s="27" t="s">
        <v>252</v>
      </c>
      <c r="F101" s="4" t="s">
        <v>19</v>
      </c>
      <c r="G101" s="27" t="s">
        <v>95</v>
      </c>
      <c r="H101" s="30">
        <v>46174</v>
      </c>
      <c r="I101" s="30">
        <v>46212</v>
      </c>
      <c r="J101" s="3"/>
      <c r="K101" s="3"/>
      <c r="L101" s="3"/>
      <c r="M101" s="3"/>
      <c r="N101" s="3"/>
      <c r="O101" s="3" t="s">
        <v>253</v>
      </c>
      <c r="P101" s="3" t="s">
        <v>96</v>
      </c>
    </row>
    <row r="102" spans="1:16" ht="20.25" customHeight="1">
      <c r="A102" s="3">
        <f>ROW() - ROW(CertTracker[[#Headers],[Index]])</f>
        <v>101</v>
      </c>
      <c r="B102" s="26" t="s">
        <v>329</v>
      </c>
      <c r="C102" s="4" t="s">
        <v>330</v>
      </c>
      <c r="D102" s="3" t="s">
        <v>5</v>
      </c>
      <c r="E102" s="27" t="s">
        <v>252</v>
      </c>
      <c r="F102" s="4" t="s">
        <v>19</v>
      </c>
      <c r="G102" s="27" t="s">
        <v>95</v>
      </c>
      <c r="H102" s="30">
        <v>46174</v>
      </c>
      <c r="I102" s="30">
        <v>46203</v>
      </c>
      <c r="J102" s="3"/>
      <c r="K102" s="3"/>
      <c r="L102" s="3"/>
      <c r="M102" s="3"/>
      <c r="N102" s="3"/>
      <c r="O102" s="3" t="s">
        <v>253</v>
      </c>
      <c r="P102" s="3" t="s">
        <v>96</v>
      </c>
    </row>
    <row r="103" spans="1:16" ht="20.25" customHeight="1">
      <c r="A103" s="3">
        <f>ROW() - ROW(CertTracker[[#Headers],[Index]])</f>
        <v>102</v>
      </c>
      <c r="B103" s="26" t="s">
        <v>331</v>
      </c>
      <c r="C103" s="4" t="s">
        <v>332</v>
      </c>
      <c r="D103" s="3" t="s">
        <v>5</v>
      </c>
      <c r="E103" s="27" t="s">
        <v>252</v>
      </c>
      <c r="F103" s="4" t="s">
        <v>19</v>
      </c>
      <c r="G103" s="27" t="s">
        <v>95</v>
      </c>
      <c r="H103" s="30">
        <v>46174</v>
      </c>
      <c r="I103" s="34">
        <v>46202</v>
      </c>
      <c r="J103" s="3"/>
      <c r="K103" s="3"/>
      <c r="L103" s="3"/>
      <c r="M103" s="3"/>
      <c r="N103" s="3"/>
      <c r="O103" s="3" t="s">
        <v>253</v>
      </c>
      <c r="P103" s="3" t="s">
        <v>96</v>
      </c>
    </row>
    <row r="104" spans="1:16" ht="20.25" customHeight="1">
      <c r="A104" s="3">
        <f>ROW() - ROW(CertTracker[[#Headers],[Index]])</f>
        <v>103</v>
      </c>
      <c r="B104" s="26" t="s">
        <v>333</v>
      </c>
      <c r="C104" s="4" t="s">
        <v>334</v>
      </c>
      <c r="D104" s="3" t="s">
        <v>4</v>
      </c>
      <c r="E104" s="27" t="s">
        <v>252</v>
      </c>
      <c r="F104" s="4" t="s">
        <v>19</v>
      </c>
      <c r="G104" s="27" t="s">
        <v>95</v>
      </c>
      <c r="H104" s="30">
        <v>46160</v>
      </c>
      <c r="I104" s="30">
        <v>46171</v>
      </c>
      <c r="J104" s="3"/>
      <c r="K104" s="3"/>
      <c r="L104" s="3"/>
      <c r="M104" s="3"/>
      <c r="N104" s="3"/>
      <c r="O104" s="3"/>
      <c r="P104" s="3" t="s">
        <v>96</v>
      </c>
    </row>
    <row r="105" spans="1:16" ht="20.25" customHeight="1">
      <c r="A105" s="3">
        <f>ROW() - ROW(CertTracker[[#Headers],[Index]])</f>
        <v>104</v>
      </c>
      <c r="B105" s="26" t="s">
        <v>335</v>
      </c>
      <c r="C105" s="4" t="s">
        <v>315</v>
      </c>
      <c r="D105" s="3" t="s">
        <v>5</v>
      </c>
      <c r="E105" s="27" t="s">
        <v>252</v>
      </c>
      <c r="F105" s="4" t="s">
        <v>19</v>
      </c>
      <c r="G105" s="27" t="s">
        <v>95</v>
      </c>
      <c r="H105" s="30">
        <v>46174</v>
      </c>
      <c r="I105" s="30">
        <v>46203</v>
      </c>
      <c r="J105" s="3"/>
      <c r="K105" s="3"/>
      <c r="L105" s="3"/>
      <c r="M105" s="3"/>
      <c r="N105" s="3"/>
      <c r="O105" s="3" t="s">
        <v>253</v>
      </c>
      <c r="P105" s="3" t="s">
        <v>96</v>
      </c>
    </row>
    <row r="106" spans="1:16" ht="20.25" customHeight="1">
      <c r="A106" s="3">
        <f>ROW() - ROW(CertTracker[[#Headers],[Index]])</f>
        <v>105</v>
      </c>
      <c r="B106" s="26" t="s">
        <v>336</v>
      </c>
      <c r="C106" s="4" t="s">
        <v>337</v>
      </c>
      <c r="D106" s="3" t="s">
        <v>5</v>
      </c>
      <c r="E106" s="27" t="s">
        <v>74</v>
      </c>
      <c r="F106" s="4" t="s">
        <v>18</v>
      </c>
      <c r="G106" s="27" t="s">
        <v>44</v>
      </c>
      <c r="H106" s="30">
        <v>46163</v>
      </c>
      <c r="I106" s="30">
        <v>46217</v>
      </c>
      <c r="J106" s="3"/>
      <c r="K106" s="3"/>
      <c r="L106" s="3"/>
      <c r="M106" s="3"/>
      <c r="N106" s="3"/>
      <c r="O106" s="3" t="s">
        <v>338</v>
      </c>
      <c r="P106" s="3"/>
    </row>
    <row r="107" spans="1:16" ht="20.25" customHeight="1">
      <c r="A107" s="3">
        <f>ROW() - ROW(CertTracker[[#Headers],[Index]])</f>
        <v>106</v>
      </c>
      <c r="B107" s="26" t="s">
        <v>339</v>
      </c>
      <c r="C107" s="4" t="s">
        <v>340</v>
      </c>
      <c r="D107" s="3" t="s">
        <v>4</v>
      </c>
      <c r="E107" s="27" t="s">
        <v>341</v>
      </c>
      <c r="F107" s="4" t="s">
        <v>22</v>
      </c>
      <c r="G107" s="27" t="s">
        <v>44</v>
      </c>
      <c r="H107" s="30">
        <v>46153</v>
      </c>
      <c r="I107" s="30">
        <v>46169</v>
      </c>
      <c r="J107" s="3" t="s">
        <v>342</v>
      </c>
      <c r="K107" s="3"/>
      <c r="L107" s="3"/>
      <c r="M107" s="3"/>
      <c r="N107" s="3"/>
      <c r="O107" s="3"/>
      <c r="P107" s="3"/>
    </row>
    <row r="108" spans="1:16" ht="20.25" customHeight="1">
      <c r="A108" s="3">
        <f>ROW() - ROW(CertTracker[[#Headers],[Index]])</f>
        <v>107</v>
      </c>
      <c r="B108" s="26" t="s">
        <v>343</v>
      </c>
      <c r="C108" s="4" t="s">
        <v>344</v>
      </c>
      <c r="D108" s="3" t="s">
        <v>4</v>
      </c>
      <c r="E108" s="27" t="s">
        <v>63</v>
      </c>
      <c r="F108" s="4" t="s">
        <v>20</v>
      </c>
      <c r="G108" s="27" t="s">
        <v>49</v>
      </c>
      <c r="H108" s="30">
        <v>46157</v>
      </c>
      <c r="I108" s="30">
        <v>46170</v>
      </c>
      <c r="J108" s="3" t="s">
        <v>345</v>
      </c>
      <c r="K108" s="3"/>
      <c r="L108" s="3"/>
      <c r="M108" s="3"/>
      <c r="N108" s="3"/>
      <c r="O108" s="3"/>
      <c r="P108" s="3" t="s">
        <v>51</v>
      </c>
    </row>
    <row r="109" spans="1:16" ht="20.25" customHeight="1">
      <c r="A109" s="3">
        <f>ROW() - ROW(CertTracker[[#Headers],[Index]])</f>
        <v>108</v>
      </c>
      <c r="B109" s="26" t="s">
        <v>346</v>
      </c>
      <c r="C109" s="4" t="s">
        <v>347</v>
      </c>
      <c r="D109" s="3" t="s">
        <v>4</v>
      </c>
      <c r="E109" s="27" t="s">
        <v>348</v>
      </c>
      <c r="F109" s="4" t="s">
        <v>20</v>
      </c>
      <c r="G109" s="27" t="s">
        <v>49</v>
      </c>
      <c r="H109" s="30">
        <v>46174</v>
      </c>
      <c r="I109" s="30">
        <v>46215</v>
      </c>
      <c r="J109" s="3"/>
      <c r="K109" s="3"/>
      <c r="L109" s="3"/>
      <c r="M109" s="3"/>
      <c r="N109" s="3"/>
      <c r="O109" s="3"/>
      <c r="P109" s="3" t="s">
        <v>51</v>
      </c>
    </row>
    <row r="110" spans="1:16" ht="20.25" customHeight="1">
      <c r="A110" s="3">
        <f>ROW() - ROW(CertTracker[[#Headers],[Index]])</f>
        <v>109</v>
      </c>
      <c r="B110" s="26" t="s">
        <v>349</v>
      </c>
      <c r="C110" s="4" t="s">
        <v>350</v>
      </c>
      <c r="D110" s="3" t="s">
        <v>4</v>
      </c>
      <c r="E110" s="27" t="s">
        <v>47</v>
      </c>
      <c r="F110" s="4" t="s">
        <v>20</v>
      </c>
      <c r="G110" s="27" t="s">
        <v>49</v>
      </c>
      <c r="H110" s="30">
        <v>46165</v>
      </c>
      <c r="I110" s="30">
        <v>46178</v>
      </c>
      <c r="J110" s="3" t="s">
        <v>351</v>
      </c>
      <c r="K110" s="3"/>
      <c r="L110" s="3"/>
      <c r="M110" s="3"/>
      <c r="N110" s="3"/>
      <c r="O110" s="3"/>
      <c r="P110" s="3" t="s">
        <v>51</v>
      </c>
    </row>
    <row r="111" spans="1:16" ht="20.25" customHeight="1">
      <c r="A111" s="3">
        <f>ROW() - ROW(CertTracker[[#Headers],[Index]])</f>
        <v>110</v>
      </c>
      <c r="B111" s="26" t="s">
        <v>352</v>
      </c>
      <c r="C111" s="4" t="s">
        <v>353</v>
      </c>
      <c r="D111" s="3" t="s">
        <v>4</v>
      </c>
      <c r="E111" s="27" t="s">
        <v>19</v>
      </c>
      <c r="F111" s="4" t="s">
        <v>19</v>
      </c>
      <c r="G111" s="27" t="s">
        <v>95</v>
      </c>
      <c r="H111" s="30">
        <v>46149</v>
      </c>
      <c r="I111" s="30">
        <v>46172</v>
      </c>
      <c r="J111" s="3" t="s">
        <v>354</v>
      </c>
      <c r="K111" s="3"/>
      <c r="L111" s="3"/>
      <c r="M111" s="3"/>
      <c r="N111" s="3"/>
      <c r="O111" s="3"/>
      <c r="P111" s="3" t="s">
        <v>96</v>
      </c>
    </row>
    <row r="112" spans="1:16" ht="20.25" customHeight="1">
      <c r="A112" s="3">
        <f>ROW() - ROW(CertTracker[[#Headers],[Index]])</f>
        <v>111</v>
      </c>
      <c r="B112" s="26" t="s">
        <v>355</v>
      </c>
      <c r="C112" s="4" t="s">
        <v>356</v>
      </c>
      <c r="D112" s="3" t="s">
        <v>4</v>
      </c>
      <c r="E112" s="27" t="s">
        <v>63</v>
      </c>
      <c r="F112" s="4" t="s">
        <v>20</v>
      </c>
      <c r="G112" s="27" t="s">
        <v>49</v>
      </c>
      <c r="H112" s="30"/>
      <c r="I112" s="30">
        <v>46171</v>
      </c>
      <c r="J112" s="3" t="s">
        <v>357</v>
      </c>
      <c r="K112" s="3"/>
      <c r="L112" s="3"/>
      <c r="M112" s="3"/>
      <c r="N112" s="3"/>
      <c r="O112" s="3"/>
      <c r="P112" s="3" t="s">
        <v>51</v>
      </c>
    </row>
    <row r="113" spans="1:16" ht="20.25" customHeight="1">
      <c r="A113" s="3">
        <f>ROW() - ROW(CertTracker[[#Headers],[Index]])</f>
        <v>112</v>
      </c>
      <c r="B113" s="26" t="s">
        <v>358</v>
      </c>
      <c r="C113" s="4" t="s">
        <v>359</v>
      </c>
      <c r="D113" s="3" t="s">
        <v>4</v>
      </c>
      <c r="E113" s="27" t="s">
        <v>43</v>
      </c>
      <c r="F113" s="4" t="s">
        <v>12</v>
      </c>
      <c r="G113" s="27" t="s">
        <v>44</v>
      </c>
      <c r="H113" s="30"/>
      <c r="I113" s="30">
        <v>46172</v>
      </c>
      <c r="J113" s="3" t="s">
        <v>360</v>
      </c>
      <c r="K113" s="3"/>
      <c r="L113" s="3"/>
      <c r="M113" s="3"/>
      <c r="N113" s="3"/>
      <c r="O113" s="3"/>
      <c r="P113" s="3" t="s">
        <v>46</v>
      </c>
    </row>
    <row r="114" spans="1:16" ht="20.25" customHeight="1">
      <c r="A114" s="3">
        <f>ROW() - ROW(CertTracker[[#Headers],[Index]])</f>
        <v>113</v>
      </c>
      <c r="B114" s="26" t="s">
        <v>361</v>
      </c>
      <c r="C114" s="4" t="s">
        <v>362</v>
      </c>
      <c r="D114" s="3" t="s">
        <v>4</v>
      </c>
      <c r="E114" s="27" t="s">
        <v>363</v>
      </c>
      <c r="F114" s="4" t="s">
        <v>14</v>
      </c>
      <c r="G114" s="27" t="s">
        <v>44</v>
      </c>
      <c r="H114" s="30"/>
      <c r="I114" s="30">
        <v>46172</v>
      </c>
      <c r="J114" s="3" t="s">
        <v>364</v>
      </c>
      <c r="K114" s="3"/>
      <c r="L114" s="3"/>
      <c r="M114" s="3"/>
      <c r="N114" s="3"/>
      <c r="O114" s="3"/>
      <c r="P114" s="3" t="s">
        <v>76</v>
      </c>
    </row>
    <row r="115" spans="1:16" ht="20.25" customHeight="1">
      <c r="A115" s="3">
        <f>ROW() - ROW(CertTracker[[#Headers],[Index]])</f>
        <v>114</v>
      </c>
      <c r="B115" s="26" t="s">
        <v>365</v>
      </c>
      <c r="C115" s="4" t="s">
        <v>366</v>
      </c>
      <c r="D115" s="3" t="s">
        <v>4</v>
      </c>
      <c r="E115" s="27" t="s">
        <v>179</v>
      </c>
      <c r="F115" s="4" t="s">
        <v>20</v>
      </c>
      <c r="G115" s="27" t="s">
        <v>49</v>
      </c>
      <c r="H115" s="30">
        <v>46166</v>
      </c>
      <c r="I115" s="30">
        <v>46173</v>
      </c>
      <c r="J115" s="3" t="s">
        <v>367</v>
      </c>
      <c r="K115" s="3"/>
      <c r="L115" s="3"/>
      <c r="M115" s="3"/>
      <c r="N115" s="3"/>
      <c r="O115" s="3"/>
      <c r="P115" s="3" t="s">
        <v>51</v>
      </c>
    </row>
    <row r="116" spans="1:16" ht="20.25" customHeight="1">
      <c r="A116" s="3">
        <f>ROW() - ROW(CertTracker[[#Headers],[Index]])</f>
        <v>115</v>
      </c>
      <c r="B116" s="26" t="s">
        <v>368</v>
      </c>
      <c r="C116" s="4" t="s">
        <v>369</v>
      </c>
      <c r="D116" s="3" t="s">
        <v>4</v>
      </c>
      <c r="E116" s="27" t="s">
        <v>11</v>
      </c>
      <c r="F116" s="4" t="s">
        <v>20</v>
      </c>
      <c r="G116" s="27" t="s">
        <v>49</v>
      </c>
      <c r="H116" s="30">
        <v>46156</v>
      </c>
      <c r="I116" s="30">
        <v>46166</v>
      </c>
      <c r="J116" s="3" t="s">
        <v>370</v>
      </c>
      <c r="K116" s="3"/>
      <c r="L116" s="3"/>
      <c r="M116" s="3"/>
      <c r="N116" s="3"/>
      <c r="O116" s="3"/>
      <c r="P116" s="3" t="s">
        <v>51</v>
      </c>
    </row>
    <row r="117" spans="1:16" ht="20.25" customHeight="1">
      <c r="A117" s="3">
        <f>ROW() - ROW(CertTracker[[#Headers],[Index]])</f>
        <v>116</v>
      </c>
      <c r="B117" s="26" t="s">
        <v>371</v>
      </c>
      <c r="C117" s="4" t="s">
        <v>372</v>
      </c>
      <c r="D117" s="3" t="s">
        <v>4</v>
      </c>
      <c r="E117" s="27" t="s">
        <v>79</v>
      </c>
      <c r="F117" s="4" t="s">
        <v>20</v>
      </c>
      <c r="G117" s="27" t="s">
        <v>49</v>
      </c>
      <c r="H117" s="30">
        <v>46162</v>
      </c>
      <c r="I117" s="30">
        <v>46172</v>
      </c>
      <c r="J117" s="3" t="s">
        <v>373</v>
      </c>
      <c r="K117" s="3"/>
      <c r="L117" s="3"/>
      <c r="M117" s="3"/>
      <c r="N117" s="3"/>
      <c r="O117" s="3"/>
      <c r="P117" s="3" t="s">
        <v>51</v>
      </c>
    </row>
    <row r="118" spans="1:16" ht="20.25" customHeight="1">
      <c r="A118" s="3">
        <f>ROW() - ROW(CertTracker[[#Headers],[Index]])</f>
        <v>117</v>
      </c>
      <c r="B118" s="26" t="s">
        <v>374</v>
      </c>
      <c r="C118" s="4" t="s">
        <v>375</v>
      </c>
      <c r="D118" s="3" t="s">
        <v>4</v>
      </c>
      <c r="E118" s="27" t="s">
        <v>11</v>
      </c>
      <c r="F118" s="4" t="s">
        <v>20</v>
      </c>
      <c r="G118" s="27" t="s">
        <v>49</v>
      </c>
      <c r="H118" s="30">
        <v>46156</v>
      </c>
      <c r="I118" s="30">
        <v>46173</v>
      </c>
      <c r="J118" s="3" t="s">
        <v>376</v>
      </c>
      <c r="K118" s="3"/>
      <c r="L118" s="3"/>
      <c r="M118" s="3"/>
      <c r="N118" s="3"/>
      <c r="O118" s="3"/>
      <c r="P118" s="3" t="s">
        <v>51</v>
      </c>
    </row>
    <row r="119" spans="1:16" ht="20.25" customHeight="1">
      <c r="A119" s="3">
        <f>ROW() - ROW(CertTracker[[#Headers],[Index]])</f>
        <v>118</v>
      </c>
      <c r="B119" s="26" t="s">
        <v>377</v>
      </c>
      <c r="C119" s="4" t="s">
        <v>378</v>
      </c>
      <c r="D119" s="3" t="s">
        <v>4</v>
      </c>
      <c r="E119" s="27" t="s">
        <v>224</v>
      </c>
      <c r="F119" s="4" t="s">
        <v>20</v>
      </c>
      <c r="G119" s="27" t="s">
        <v>49</v>
      </c>
      <c r="H119" s="30"/>
      <c r="I119" s="30">
        <v>46170</v>
      </c>
      <c r="J119" s="3" t="s">
        <v>379</v>
      </c>
      <c r="K119" s="3"/>
      <c r="L119" s="3"/>
      <c r="M119" s="3"/>
      <c r="N119" s="3"/>
      <c r="O119" s="3"/>
      <c r="P119" s="3" t="s">
        <v>51</v>
      </c>
    </row>
    <row r="120" spans="1:16" ht="20.25" customHeight="1">
      <c r="A120" s="3">
        <f>ROW() - ROW(CertTracker[[#Headers],[Index]])</f>
        <v>119</v>
      </c>
      <c r="B120" s="26" t="s">
        <v>380</v>
      </c>
      <c r="C120" s="4" t="s">
        <v>381</v>
      </c>
      <c r="D120" s="3" t="s">
        <v>4</v>
      </c>
      <c r="E120" s="27" t="s">
        <v>47</v>
      </c>
      <c r="F120" s="4" t="s">
        <v>20</v>
      </c>
      <c r="G120" s="27" t="s">
        <v>49</v>
      </c>
      <c r="H120" s="30">
        <v>46167</v>
      </c>
      <c r="I120" s="30">
        <v>46171</v>
      </c>
      <c r="J120" s="3" t="s">
        <v>382</v>
      </c>
      <c r="K120" s="3"/>
      <c r="L120" s="3"/>
      <c r="M120" s="3"/>
      <c r="N120" s="3"/>
      <c r="O120" s="3"/>
      <c r="P120" s="3" t="s">
        <v>51</v>
      </c>
    </row>
    <row r="121" spans="1:16" ht="20.25" customHeight="1">
      <c r="A121" s="3">
        <f>ROW() - ROW(CertTracker[[#Headers],[Index]])</f>
        <v>120</v>
      </c>
      <c r="B121" s="26" t="s">
        <v>383</v>
      </c>
      <c r="C121" s="4" t="s">
        <v>384</v>
      </c>
      <c r="D121" s="3" t="s">
        <v>5</v>
      </c>
      <c r="E121" s="27" t="s">
        <v>15</v>
      </c>
      <c r="F121" s="4" t="s">
        <v>15</v>
      </c>
      <c r="G121" s="27" t="s">
        <v>119</v>
      </c>
      <c r="H121" s="30">
        <v>46175</v>
      </c>
      <c r="I121" s="30"/>
      <c r="J121" s="3"/>
      <c r="K121" s="3"/>
      <c r="L121" s="3"/>
      <c r="M121" s="3"/>
      <c r="N121" s="3"/>
      <c r="O121" s="3" t="s">
        <v>121</v>
      </c>
      <c r="P121" s="3" t="s">
        <v>121</v>
      </c>
    </row>
    <row r="122" spans="1:16" ht="20.25" customHeight="1">
      <c r="A122" s="3">
        <f>ROW() - ROW(CertTracker[[#Headers],[Index]])</f>
        <v>121</v>
      </c>
      <c r="B122" s="26" t="s">
        <v>385</v>
      </c>
      <c r="C122" s="4" t="s">
        <v>386</v>
      </c>
      <c r="D122" s="3" t="s">
        <v>3</v>
      </c>
      <c r="E122" s="27" t="s">
        <v>43</v>
      </c>
      <c r="F122" s="4" t="s">
        <v>12</v>
      </c>
      <c r="G122" s="27" t="s">
        <v>44</v>
      </c>
      <c r="H122" s="30">
        <v>46181</v>
      </c>
      <c r="I122" s="30">
        <v>46203</v>
      </c>
      <c r="J122" s="3"/>
      <c r="K122" s="3"/>
      <c r="L122" s="3"/>
      <c r="M122" s="3"/>
      <c r="N122" s="3"/>
      <c r="O122" s="3"/>
      <c r="P122" s="3" t="s">
        <v>46</v>
      </c>
    </row>
    <row r="123" spans="1:16" ht="20.25" customHeight="1">
      <c r="A123" s="3">
        <f>ROW() - ROW(CertTracker[[#Headers],[Index]])</f>
        <v>122</v>
      </c>
      <c r="B123" s="26" t="s">
        <v>387</v>
      </c>
      <c r="C123" s="4" t="s">
        <v>388</v>
      </c>
      <c r="D123" s="3" t="s">
        <v>4</v>
      </c>
      <c r="E123" s="27" t="s">
        <v>389</v>
      </c>
      <c r="F123" s="4" t="s">
        <v>20</v>
      </c>
      <c r="G123" s="27" t="s">
        <v>49</v>
      </c>
      <c r="H123" s="30">
        <v>46152</v>
      </c>
      <c r="I123" s="30">
        <v>46173</v>
      </c>
      <c r="J123" s="3" t="s">
        <v>390</v>
      </c>
      <c r="K123" s="3"/>
      <c r="L123" s="3"/>
      <c r="M123" s="3"/>
      <c r="N123" s="3"/>
      <c r="O123" s="3"/>
      <c r="P123" s="3" t="s">
        <v>51</v>
      </c>
    </row>
    <row r="124" spans="1:16" ht="20.25" customHeight="1">
      <c r="A124" s="3">
        <f>ROW() - ROW(CertTracker[[#Headers],[Index]])</f>
        <v>123</v>
      </c>
      <c r="B124" s="26" t="s">
        <v>391</v>
      </c>
      <c r="C124" s="4" t="s">
        <v>392</v>
      </c>
      <c r="D124" s="3" t="s">
        <v>3</v>
      </c>
      <c r="E124" s="27" t="s">
        <v>170</v>
      </c>
      <c r="F124" s="4" t="s">
        <v>18</v>
      </c>
      <c r="G124" s="27" t="s">
        <v>44</v>
      </c>
      <c r="H124" s="30">
        <v>46152</v>
      </c>
      <c r="I124" s="30">
        <v>46173</v>
      </c>
      <c r="J124" s="3"/>
      <c r="K124" s="3"/>
      <c r="L124" s="3"/>
      <c r="M124" s="3"/>
      <c r="N124" s="3"/>
      <c r="O124" s="3"/>
      <c r="P124" s="3"/>
    </row>
    <row r="125" spans="1:16" ht="20.25" customHeight="1">
      <c r="A125" s="3">
        <f>ROW() - ROW(CertTracker[[#Headers],[Index]])</f>
        <v>124</v>
      </c>
      <c r="B125" s="26" t="s">
        <v>393</v>
      </c>
      <c r="C125" s="4" t="s">
        <v>394</v>
      </c>
      <c r="D125" s="3" t="s">
        <v>4</v>
      </c>
      <c r="E125" s="27" t="s">
        <v>395</v>
      </c>
      <c r="F125" s="4" t="s">
        <v>16</v>
      </c>
      <c r="G125" s="27" t="s">
        <v>105</v>
      </c>
      <c r="H125" s="30">
        <v>46155</v>
      </c>
      <c r="I125" s="30">
        <v>46171</v>
      </c>
      <c r="J125" s="3" t="s">
        <v>396</v>
      </c>
      <c r="K125" s="3"/>
      <c r="L125" s="3"/>
      <c r="M125" s="3"/>
      <c r="N125" s="3"/>
      <c r="O125" s="3"/>
      <c r="P125" s="3" t="s">
        <v>107</v>
      </c>
    </row>
    <row r="126" spans="1:16" ht="20.25" customHeight="1">
      <c r="A126" s="3">
        <f>ROW() - ROW(CertTracker[[#Headers],[Index]])</f>
        <v>125</v>
      </c>
      <c r="B126" s="26" t="s">
        <v>397</v>
      </c>
      <c r="C126" s="4" t="s">
        <v>398</v>
      </c>
      <c r="D126" s="3" t="s">
        <v>4</v>
      </c>
      <c r="E126" s="27" t="s">
        <v>13</v>
      </c>
      <c r="F126" s="4" t="s">
        <v>13</v>
      </c>
      <c r="G126" s="27" t="s">
        <v>101</v>
      </c>
      <c r="H126" s="30"/>
      <c r="I126" s="30">
        <v>46167</v>
      </c>
      <c r="J126" s="3" t="s">
        <v>399</v>
      </c>
      <c r="K126" s="3"/>
      <c r="L126" s="3"/>
      <c r="M126" s="3"/>
      <c r="N126" s="3"/>
      <c r="O126" s="3"/>
      <c r="P126" s="3"/>
    </row>
    <row r="127" spans="1:16" ht="20.25" customHeight="1">
      <c r="A127" s="3">
        <f>ROW() - ROW(CertTracker[[#Headers],[Index]])</f>
        <v>126</v>
      </c>
      <c r="B127" s="26" t="s">
        <v>400</v>
      </c>
      <c r="C127" s="4" t="s">
        <v>401</v>
      </c>
      <c r="D127" s="3" t="s">
        <v>4</v>
      </c>
      <c r="E127" s="27" t="s">
        <v>11</v>
      </c>
      <c r="F127" s="4" t="s">
        <v>20</v>
      </c>
      <c r="G127" s="27" t="s">
        <v>49</v>
      </c>
      <c r="H127" s="30">
        <v>46156</v>
      </c>
      <c r="I127" s="30">
        <v>46173</v>
      </c>
      <c r="J127" s="3" t="s">
        <v>402</v>
      </c>
      <c r="K127" s="3"/>
      <c r="L127" s="3"/>
      <c r="M127" s="3"/>
      <c r="N127" s="3"/>
      <c r="O127" s="3"/>
      <c r="P127" s="3" t="s">
        <v>51</v>
      </c>
    </row>
    <row r="128" spans="1:16" ht="20.25" customHeight="1">
      <c r="A128" s="3">
        <f>ROW() - ROW(CertTracker[[#Headers],[Index]])</f>
        <v>127</v>
      </c>
      <c r="B128" s="26" t="s">
        <v>403</v>
      </c>
      <c r="C128" s="4" t="s">
        <v>404</v>
      </c>
      <c r="D128" s="3" t="s">
        <v>4</v>
      </c>
      <c r="E128" s="27" t="s">
        <v>11</v>
      </c>
      <c r="F128" s="4" t="s">
        <v>20</v>
      </c>
      <c r="G128" s="27" t="s">
        <v>49</v>
      </c>
      <c r="H128" s="30">
        <v>46170</v>
      </c>
      <c r="I128" s="30">
        <v>46177</v>
      </c>
      <c r="J128" s="3" t="s">
        <v>405</v>
      </c>
      <c r="K128" s="3"/>
      <c r="L128" s="3"/>
      <c r="M128" s="3"/>
      <c r="N128" s="3"/>
      <c r="O128" s="3"/>
      <c r="P128" s="3" t="s">
        <v>51</v>
      </c>
    </row>
    <row r="129" spans="1:16" ht="20.25" customHeight="1">
      <c r="A129" s="3">
        <f>ROW() - ROW(CertTracker[[#Headers],[Index]])</f>
        <v>128</v>
      </c>
      <c r="B129" s="26" t="s">
        <v>406</v>
      </c>
      <c r="C129" s="4" t="s">
        <v>407</v>
      </c>
      <c r="D129" s="3" t="s">
        <v>4</v>
      </c>
      <c r="E129" s="27" t="s">
        <v>10</v>
      </c>
      <c r="F129" s="4" t="s">
        <v>10</v>
      </c>
      <c r="G129" s="27" t="s">
        <v>105</v>
      </c>
      <c r="H129" s="30">
        <v>46148</v>
      </c>
      <c r="I129" s="30">
        <v>46177</v>
      </c>
      <c r="J129" s="3" t="s">
        <v>408</v>
      </c>
      <c r="K129" s="3"/>
      <c r="L129" s="3"/>
      <c r="M129" s="3"/>
      <c r="N129" s="3"/>
      <c r="O129" s="3"/>
      <c r="P129" s="3"/>
    </row>
    <row r="130" spans="1:16" ht="20.25" customHeight="1">
      <c r="A130" s="3">
        <f>ROW() - ROW(CertTracker[[#Headers],[Index]])</f>
        <v>129</v>
      </c>
      <c r="B130" s="26" t="s">
        <v>409</v>
      </c>
      <c r="C130" s="4" t="s">
        <v>410</v>
      </c>
      <c r="D130" s="3" t="s">
        <v>3</v>
      </c>
      <c r="E130" s="27" t="s">
        <v>143</v>
      </c>
      <c r="F130" s="4" t="s">
        <v>16</v>
      </c>
      <c r="G130" s="27" t="s">
        <v>105</v>
      </c>
      <c r="H130" s="30">
        <v>46175</v>
      </c>
      <c r="I130" s="30">
        <v>46182</v>
      </c>
      <c r="J130" s="3"/>
      <c r="K130" s="3"/>
      <c r="L130" s="3"/>
      <c r="M130" s="3"/>
      <c r="N130" s="3"/>
      <c r="O130" s="3"/>
      <c r="P130" s="3" t="s">
        <v>107</v>
      </c>
    </row>
    <row r="131" spans="1:16" ht="20.25" customHeight="1">
      <c r="A131" s="3">
        <f>ROW() - ROW(CertTracker[[#Headers],[Index]])</f>
        <v>130</v>
      </c>
      <c r="B131" s="26" t="s">
        <v>411</v>
      </c>
      <c r="C131" s="4" t="s">
        <v>412</v>
      </c>
      <c r="D131" s="3" t="s">
        <v>4</v>
      </c>
      <c r="E131" s="27" t="s">
        <v>224</v>
      </c>
      <c r="F131" s="4" t="s">
        <v>20</v>
      </c>
      <c r="G131" s="27" t="s">
        <v>49</v>
      </c>
      <c r="H131" s="30">
        <v>46164</v>
      </c>
      <c r="I131" s="30">
        <v>46173</v>
      </c>
      <c r="J131" s="3" t="s">
        <v>413</v>
      </c>
      <c r="K131" s="3"/>
      <c r="L131" s="3"/>
      <c r="M131" s="3"/>
      <c r="N131" s="3"/>
      <c r="O131" s="3"/>
      <c r="P131" s="3" t="s">
        <v>51</v>
      </c>
    </row>
    <row r="132" spans="1:16" ht="20.25" customHeight="1">
      <c r="A132" s="3">
        <f>ROW() - ROW(CertTracker[[#Headers],[Index]])</f>
        <v>131</v>
      </c>
      <c r="B132" s="26" t="s">
        <v>414</v>
      </c>
      <c r="C132" s="4" t="s">
        <v>415</v>
      </c>
      <c r="D132" s="3" t="s">
        <v>4</v>
      </c>
      <c r="E132" s="27" t="s">
        <v>20</v>
      </c>
      <c r="F132" s="4" t="s">
        <v>20</v>
      </c>
      <c r="G132" s="27" t="s">
        <v>416</v>
      </c>
      <c r="H132" s="32">
        <v>46157</v>
      </c>
      <c r="I132" s="32">
        <v>46186</v>
      </c>
      <c r="J132" s="12" t="s">
        <v>417</v>
      </c>
      <c r="P132" s="12" t="s">
        <v>51</v>
      </c>
    </row>
    <row r="133" spans="1:16" ht="20.25" customHeight="1">
      <c r="A133" s="3">
        <f>ROW() - ROW(CertTracker[[#Headers],[Index]])</f>
        <v>132</v>
      </c>
      <c r="B133" s="26" t="s">
        <v>418</v>
      </c>
      <c r="C133" s="4" t="s">
        <v>419</v>
      </c>
      <c r="D133" s="3" t="s">
        <v>4</v>
      </c>
      <c r="E133" s="27" t="s">
        <v>224</v>
      </c>
      <c r="F133" s="4" t="s">
        <v>11</v>
      </c>
      <c r="G133" s="27" t="s">
        <v>420</v>
      </c>
      <c r="H133" s="33">
        <v>46166</v>
      </c>
      <c r="I133" s="32">
        <v>46186</v>
      </c>
      <c r="J133" s="12" t="s">
        <v>421</v>
      </c>
      <c r="P133" s="12" t="s">
        <v>422</v>
      </c>
    </row>
    <row r="134" spans="1:16" ht="20.25" customHeight="1">
      <c r="A134" s="3">
        <f>ROW() - ROW(CertTracker[[#Headers],[Index]])</f>
        <v>133</v>
      </c>
      <c r="B134" s="26" t="s">
        <v>423</v>
      </c>
      <c r="C134" s="4" t="s">
        <v>424</v>
      </c>
      <c r="D134" s="3" t="s">
        <v>4</v>
      </c>
      <c r="E134" s="27" t="s">
        <v>11</v>
      </c>
      <c r="F134" s="4" t="s">
        <v>11</v>
      </c>
      <c r="G134" s="27" t="s">
        <v>420</v>
      </c>
      <c r="H134" s="32">
        <v>46166</v>
      </c>
      <c r="I134" s="32">
        <v>46189</v>
      </c>
      <c r="J134" s="17" t="s">
        <v>425</v>
      </c>
      <c r="K134" s="18"/>
      <c r="L134" s="18"/>
      <c r="M134" s="18"/>
      <c r="P134" s="12" t="s">
        <v>422</v>
      </c>
    </row>
    <row r="135" spans="1:16" ht="20.25" customHeight="1">
      <c r="A135" s="3">
        <f>ROW() - ROW(CertTracker[[#Headers],[Index]])</f>
        <v>134</v>
      </c>
      <c r="B135" s="26" t="s">
        <v>426</v>
      </c>
      <c r="C135" s="4" t="s">
        <v>427</v>
      </c>
      <c r="D135" s="3" t="s">
        <v>4</v>
      </c>
      <c r="E135" s="27" t="s">
        <v>8</v>
      </c>
      <c r="F135" s="4" t="s">
        <v>8</v>
      </c>
      <c r="G135" s="27" t="s">
        <v>88</v>
      </c>
      <c r="H135" s="32">
        <v>46167</v>
      </c>
      <c r="I135" s="32">
        <v>46202</v>
      </c>
      <c r="J135" s="19" t="s">
        <v>428</v>
      </c>
      <c r="P135" s="12" t="s">
        <v>90</v>
      </c>
    </row>
    <row r="136" spans="1:16" ht="20.25" customHeight="1">
      <c r="A136" s="3">
        <f>ROW() - ROW(CertTracker[[#Headers],[Index]])</f>
        <v>135</v>
      </c>
      <c r="B136" s="26" t="s">
        <v>429</v>
      </c>
      <c r="C136" s="4" t="s">
        <v>430</v>
      </c>
      <c r="D136" s="3" t="s">
        <v>4</v>
      </c>
      <c r="E136" s="27" t="s">
        <v>431</v>
      </c>
      <c r="F136" s="4" t="s">
        <v>8</v>
      </c>
      <c r="G136" s="27" t="s">
        <v>432</v>
      </c>
      <c r="H136" s="32">
        <v>46118</v>
      </c>
      <c r="I136" s="32">
        <v>46190</v>
      </c>
      <c r="P136" s="12" t="s">
        <v>90</v>
      </c>
    </row>
    <row r="137" spans="1:16" ht="20.25" customHeight="1">
      <c r="A137" s="3">
        <f>ROW() - ROW(CertTracker[[#Headers],[Index]])</f>
        <v>136</v>
      </c>
      <c r="B137" s="26" t="s">
        <v>433</v>
      </c>
      <c r="C137" s="4" t="s">
        <v>434</v>
      </c>
      <c r="D137" s="3" t="s">
        <v>5</v>
      </c>
      <c r="E137" s="27" t="s">
        <v>8</v>
      </c>
      <c r="F137" s="4" t="s">
        <v>8</v>
      </c>
      <c r="G137" s="27" t="s">
        <v>435</v>
      </c>
      <c r="H137" s="32">
        <v>46183</v>
      </c>
      <c r="I137" s="32"/>
      <c r="O137" s="12" t="s">
        <v>90</v>
      </c>
      <c r="P137" s="12" t="s">
        <v>90</v>
      </c>
    </row>
    <row r="138" spans="1:16" ht="20.25" customHeight="1">
      <c r="A138" s="3">
        <f>ROW() - ROW(CertTracker[[#Headers],[Index]])</f>
        <v>137</v>
      </c>
      <c r="B138" s="26" t="s">
        <v>436</v>
      </c>
      <c r="C138" s="4" t="s">
        <v>437</v>
      </c>
      <c r="D138" s="3" t="s">
        <v>4</v>
      </c>
      <c r="E138" s="27" t="s">
        <v>8</v>
      </c>
      <c r="F138" s="4" t="s">
        <v>8</v>
      </c>
      <c r="G138" s="27" t="s">
        <v>88</v>
      </c>
      <c r="H138" s="32">
        <v>46193</v>
      </c>
      <c r="I138" s="32">
        <v>46202</v>
      </c>
      <c r="P138" s="12" t="s">
        <v>90</v>
      </c>
    </row>
    <row r="139" spans="1:16" ht="20.25" customHeight="1">
      <c r="A139" s="3">
        <f>ROW() - ROW(CertTracker[[#Headers],[Index]])</f>
        <v>138</v>
      </c>
      <c r="B139" s="26" t="s">
        <v>438</v>
      </c>
      <c r="C139" s="4" t="s">
        <v>439</v>
      </c>
      <c r="D139" s="3" t="s">
        <v>5</v>
      </c>
      <c r="E139" s="27" t="s">
        <v>341</v>
      </c>
      <c r="F139" s="4" t="s">
        <v>19</v>
      </c>
      <c r="G139" s="27" t="s">
        <v>44</v>
      </c>
      <c r="H139" s="32">
        <v>46157</v>
      </c>
      <c r="I139" s="35">
        <v>46214</v>
      </c>
      <c r="O139" s="12" t="s">
        <v>440</v>
      </c>
      <c r="P139" s="12" t="s">
        <v>96</v>
      </c>
    </row>
    <row r="140" spans="1:16" ht="20.25" customHeight="1">
      <c r="A140" s="3">
        <f>ROW() - ROW(CertTracker[[#Headers],[Index]])</f>
        <v>139</v>
      </c>
      <c r="B140" s="26" t="s">
        <v>441</v>
      </c>
      <c r="C140" s="4" t="s">
        <v>442</v>
      </c>
      <c r="D140" s="3" t="s">
        <v>3</v>
      </c>
      <c r="E140" s="27" t="s">
        <v>16</v>
      </c>
      <c r="F140" s="4" t="s">
        <v>16</v>
      </c>
      <c r="G140" s="27" t="s">
        <v>443</v>
      </c>
      <c r="H140" s="32">
        <v>46183</v>
      </c>
      <c r="I140" s="32"/>
      <c r="P140" s="12" t="s">
        <v>107</v>
      </c>
    </row>
    <row r="141" spans="1:16" ht="20.25" customHeight="1">
      <c r="A141" s="3">
        <f>ROW() - ROW(CertTracker[[#Headers],[Index]])</f>
        <v>140</v>
      </c>
      <c r="B141" s="26" t="s">
        <v>444</v>
      </c>
      <c r="C141" s="4" t="s">
        <v>445</v>
      </c>
      <c r="D141" s="3" t="s">
        <v>4</v>
      </c>
      <c r="E141" s="27" t="s">
        <v>446</v>
      </c>
      <c r="F141" s="4" t="s">
        <v>19</v>
      </c>
      <c r="G141" s="27" t="s">
        <v>95</v>
      </c>
      <c r="H141" s="32">
        <v>46028</v>
      </c>
      <c r="I141" s="32">
        <v>46200</v>
      </c>
      <c r="J141" s="20" t="s">
        <v>447</v>
      </c>
      <c r="P141" s="12" t="s">
        <v>96</v>
      </c>
    </row>
    <row r="142" spans="1:16" ht="20.25" customHeight="1">
      <c r="A142" s="3">
        <f>ROW() - ROW(CertTracker[[#Headers],[Index]])</f>
        <v>141</v>
      </c>
      <c r="B142" s="26" t="s">
        <v>448</v>
      </c>
      <c r="C142" s="4" t="s">
        <v>449</v>
      </c>
      <c r="D142" s="3" t="s">
        <v>4</v>
      </c>
      <c r="E142" s="27" t="s">
        <v>261</v>
      </c>
      <c r="F142" s="4" t="s">
        <v>18</v>
      </c>
      <c r="G142" s="27" t="s">
        <v>44</v>
      </c>
      <c r="H142" s="32">
        <v>46160</v>
      </c>
      <c r="I142" s="32">
        <v>46174</v>
      </c>
    </row>
    <row r="143" spans="1:16" ht="20.25" customHeight="1">
      <c r="A143" s="3">
        <f>ROW() - ROW(CertTracker[[#Headers],[Index]])</f>
        <v>142</v>
      </c>
      <c r="B143" s="26" t="s">
        <v>450</v>
      </c>
      <c r="C143" s="4" t="s">
        <v>451</v>
      </c>
      <c r="D143" s="3" t="s">
        <v>3</v>
      </c>
      <c r="E143" s="27" t="s">
        <v>452</v>
      </c>
      <c r="F143" s="4" t="s">
        <v>19</v>
      </c>
      <c r="G143" s="27" t="s">
        <v>95</v>
      </c>
      <c r="H143" s="32">
        <v>46157</v>
      </c>
      <c r="I143" s="32">
        <v>46171</v>
      </c>
      <c r="P143" s="12" t="s">
        <v>96</v>
      </c>
    </row>
    <row r="144" spans="1:16" ht="20.25" customHeight="1">
      <c r="A144" s="3">
        <f>ROW() - ROW(CertTracker[[#Headers],[Index]])</f>
        <v>143</v>
      </c>
      <c r="B144" s="26" t="s">
        <v>453</v>
      </c>
      <c r="C144" s="4" t="s">
        <v>454</v>
      </c>
      <c r="D144" s="3" t="s">
        <v>5</v>
      </c>
      <c r="E144" s="27" t="s">
        <v>455</v>
      </c>
      <c r="F144" s="4" t="s">
        <v>20</v>
      </c>
      <c r="G144" s="27" t="s">
        <v>416</v>
      </c>
      <c r="H144" s="32">
        <v>46199</v>
      </c>
      <c r="I144" s="32">
        <v>46213</v>
      </c>
      <c r="O144" s="12" t="s">
        <v>456</v>
      </c>
      <c r="P144" s="12" t="s">
        <v>51</v>
      </c>
    </row>
    <row r="145" spans="1:16" ht="20.25" customHeight="1">
      <c r="A145" s="3">
        <f>ROW() - ROW(CertTracker[[#Headers],[Index]])</f>
        <v>144</v>
      </c>
      <c r="B145" s="26" t="s">
        <v>457</v>
      </c>
      <c r="C145" s="4" t="s">
        <v>458</v>
      </c>
      <c r="D145" s="3" t="s">
        <v>4</v>
      </c>
      <c r="E145" s="27" t="s">
        <v>224</v>
      </c>
      <c r="F145" s="4" t="s">
        <v>20</v>
      </c>
      <c r="G145" s="27" t="s">
        <v>416</v>
      </c>
      <c r="H145" s="32">
        <v>46155</v>
      </c>
      <c r="I145" s="32">
        <v>46170</v>
      </c>
      <c r="P145" s="12" t="s">
        <v>51</v>
      </c>
    </row>
    <row r="146" spans="1:16" ht="20.25" customHeight="1">
      <c r="A146" s="3">
        <f>ROW() - ROW(CertTracker[[#Headers],[Index]])</f>
        <v>145</v>
      </c>
      <c r="B146" s="26" t="s">
        <v>459</v>
      </c>
      <c r="C146" s="4" t="s">
        <v>460</v>
      </c>
      <c r="D146" s="3" t="s">
        <v>4</v>
      </c>
      <c r="E146" s="27" t="s">
        <v>461</v>
      </c>
      <c r="F146" s="4" t="s">
        <v>8</v>
      </c>
      <c r="G146" s="27" t="s">
        <v>88</v>
      </c>
      <c r="H146" s="32">
        <v>46164</v>
      </c>
      <c r="I146" s="32">
        <v>46191</v>
      </c>
      <c r="J146" s="20" t="s">
        <v>462</v>
      </c>
      <c r="P146" s="12" t="s">
        <v>90</v>
      </c>
    </row>
    <row r="147" spans="1:16" ht="20.25" customHeight="1">
      <c r="A147" s="3">
        <f>ROW() - ROW(CertTracker[[#Headers],[Index]])</f>
        <v>146</v>
      </c>
      <c r="B147" s="26" t="s">
        <v>463</v>
      </c>
      <c r="C147" s="4" t="s">
        <v>464</v>
      </c>
      <c r="D147" s="3" t="s">
        <v>4</v>
      </c>
      <c r="E147" s="27" t="s">
        <v>11</v>
      </c>
      <c r="F147" s="4" t="s">
        <v>20</v>
      </c>
      <c r="G147" s="27" t="s">
        <v>416</v>
      </c>
      <c r="H147" s="32">
        <v>46150</v>
      </c>
      <c r="I147" s="32">
        <v>46169</v>
      </c>
      <c r="J147" s="20" t="s">
        <v>465</v>
      </c>
      <c r="N147" s="20" t="s">
        <v>466</v>
      </c>
      <c r="O147" s="20"/>
      <c r="P147" s="20" t="s">
        <v>51</v>
      </c>
    </row>
    <row r="148" spans="1:16" ht="20.25" customHeight="1">
      <c r="A148" s="3">
        <f>ROW() - ROW(CertTracker[[#Headers],[Index]])</f>
        <v>147</v>
      </c>
      <c r="B148" s="26" t="s">
        <v>173</v>
      </c>
      <c r="C148" s="4" t="s">
        <v>174</v>
      </c>
      <c r="D148" s="3" t="s">
        <v>5</v>
      </c>
      <c r="E148" s="27" t="s">
        <v>452</v>
      </c>
      <c r="F148" s="4" t="s">
        <v>19</v>
      </c>
      <c r="G148" s="27" t="s">
        <v>95</v>
      </c>
      <c r="H148" s="32">
        <v>46155</v>
      </c>
      <c r="I148" s="32">
        <v>46201</v>
      </c>
      <c r="O148" s="12" t="s">
        <v>467</v>
      </c>
      <c r="P148" s="12" t="s">
        <v>96</v>
      </c>
    </row>
    <row r="149" spans="1:16" ht="20.25" customHeight="1">
      <c r="A149" s="3">
        <f>ROW() - ROW(CertTracker[[#Headers],[Index]])</f>
        <v>148</v>
      </c>
      <c r="B149" s="26" t="s">
        <v>468</v>
      </c>
      <c r="C149" s="4" t="s">
        <v>469</v>
      </c>
      <c r="D149" s="3" t="s">
        <v>5</v>
      </c>
      <c r="E149" s="27" t="s">
        <v>470</v>
      </c>
      <c r="F149" s="4" t="s">
        <v>18</v>
      </c>
      <c r="G149" s="27" t="s">
        <v>44</v>
      </c>
      <c r="H149" s="32">
        <v>46185</v>
      </c>
      <c r="I149" s="32">
        <v>46201</v>
      </c>
      <c r="O149" s="12" t="s">
        <v>471</v>
      </c>
    </row>
    <row r="150" spans="1:16" ht="20.25" customHeight="1">
      <c r="A150" s="3">
        <f>ROW() - ROW(CertTracker[[#Headers],[Index]])</f>
        <v>149</v>
      </c>
      <c r="B150" s="26" t="s">
        <v>472</v>
      </c>
      <c r="C150" s="4" t="s">
        <v>473</v>
      </c>
      <c r="D150" s="3" t="s">
        <v>5</v>
      </c>
      <c r="E150" s="27" t="s">
        <v>177</v>
      </c>
      <c r="F150" s="4" t="s">
        <v>8</v>
      </c>
      <c r="G150" s="27" t="s">
        <v>88</v>
      </c>
      <c r="H150" s="32">
        <v>46028</v>
      </c>
      <c r="I150" s="32"/>
      <c r="O150" s="12" t="s">
        <v>474</v>
      </c>
      <c r="P150" s="12" t="s">
        <v>90</v>
      </c>
    </row>
    <row r="151" spans="1:16" ht="20.25" customHeight="1">
      <c r="A151" s="3">
        <f>ROW() - ROW(CertTracker[[#Headers],[Index]])</f>
        <v>150</v>
      </c>
      <c r="B151" s="26" t="s">
        <v>475</v>
      </c>
      <c r="C151" s="4" t="s">
        <v>476</v>
      </c>
      <c r="D151" s="3" t="s">
        <v>4</v>
      </c>
      <c r="E151" s="27" t="s">
        <v>104</v>
      </c>
      <c r="F151" s="4" t="s">
        <v>16</v>
      </c>
      <c r="G151" s="27" t="s">
        <v>105</v>
      </c>
      <c r="H151" s="32">
        <v>46189</v>
      </c>
      <c r="I151" s="32">
        <v>46216</v>
      </c>
      <c r="P151" s="12" t="s">
        <v>107</v>
      </c>
    </row>
    <row r="152" spans="1:16" ht="20.25" customHeight="1">
      <c r="A152" s="3">
        <f>ROW() - ROW(CertTracker[[#Headers],[Index]])</f>
        <v>151</v>
      </c>
      <c r="B152" s="26" t="s">
        <v>477</v>
      </c>
      <c r="C152" s="4" t="s">
        <v>478</v>
      </c>
      <c r="D152" s="3" t="s">
        <v>4</v>
      </c>
      <c r="E152" s="27" t="s">
        <v>11</v>
      </c>
      <c r="F152" s="4" t="s">
        <v>11</v>
      </c>
      <c r="G152" s="27" t="s">
        <v>416</v>
      </c>
      <c r="H152" s="32">
        <v>46157</v>
      </c>
      <c r="I152" s="32">
        <v>46202</v>
      </c>
      <c r="P152" s="12" t="s">
        <v>422</v>
      </c>
    </row>
    <row r="153" spans="1:16" ht="20.25" customHeight="1">
      <c r="A153" s="3">
        <f>ROW() - ROW(CertTracker[[#Headers],[Index]])</f>
        <v>152</v>
      </c>
      <c r="B153" s="26" t="s">
        <v>479</v>
      </c>
      <c r="C153" s="4" t="s">
        <v>480</v>
      </c>
      <c r="D153" s="3" t="s">
        <v>4</v>
      </c>
      <c r="E153" s="27" t="s">
        <v>143</v>
      </c>
      <c r="F153" s="4" t="s">
        <v>16</v>
      </c>
      <c r="G153" s="27" t="s">
        <v>105</v>
      </c>
      <c r="H153" s="32">
        <v>46183</v>
      </c>
      <c r="I153" s="32">
        <v>46200</v>
      </c>
      <c r="P153" s="12" t="s">
        <v>107</v>
      </c>
    </row>
    <row r="154" spans="1:16" ht="20.25" customHeight="1">
      <c r="A154" s="3">
        <f>ROW() - ROW(CertTracker[[#Headers],[Index]])</f>
        <v>153</v>
      </c>
      <c r="B154" s="26" t="s">
        <v>481</v>
      </c>
      <c r="C154" s="4" t="s">
        <v>482</v>
      </c>
      <c r="D154" s="3" t="s">
        <v>4</v>
      </c>
      <c r="E154" s="27" t="s">
        <v>470</v>
      </c>
      <c r="F154" s="4" t="s">
        <v>18</v>
      </c>
      <c r="G154" s="27" t="s">
        <v>44</v>
      </c>
      <c r="H154" s="32">
        <v>46165</v>
      </c>
      <c r="I154" s="32"/>
      <c r="J154" s="20" t="s">
        <v>483</v>
      </c>
    </row>
    <row r="155" spans="1:16" ht="20.25" customHeight="1">
      <c r="A155" s="3">
        <f>ROW() - ROW(CertTracker[[#Headers],[Index]])</f>
        <v>154</v>
      </c>
      <c r="B155" s="26" t="s">
        <v>484</v>
      </c>
      <c r="C155" s="4" t="s">
        <v>485</v>
      </c>
      <c r="D155" s="3" t="s">
        <v>5</v>
      </c>
      <c r="E155" s="27" t="s">
        <v>194</v>
      </c>
      <c r="F155" s="4" t="s">
        <v>18</v>
      </c>
      <c r="G155" s="27" t="s">
        <v>49</v>
      </c>
      <c r="H155" s="32">
        <v>46168</v>
      </c>
      <c r="I155" s="32"/>
      <c r="O155" s="12" t="s">
        <v>471</v>
      </c>
    </row>
    <row r="156" spans="1:16" ht="20.25" customHeight="1">
      <c r="A156" s="3">
        <f>ROW() - ROW(CertTracker[[#Headers],[Index]])</f>
        <v>155</v>
      </c>
      <c r="B156" s="26" t="s">
        <v>486</v>
      </c>
      <c r="C156" s="4" t="s">
        <v>487</v>
      </c>
      <c r="D156" s="3" t="s">
        <v>5</v>
      </c>
      <c r="E156" s="27" t="s">
        <v>43</v>
      </c>
      <c r="F156" s="4" t="s">
        <v>12</v>
      </c>
      <c r="G156" s="27" t="s">
        <v>44</v>
      </c>
      <c r="H156" s="32">
        <v>46028</v>
      </c>
      <c r="I156" s="32"/>
      <c r="O156" s="12" t="s">
        <v>54</v>
      </c>
      <c r="P156" s="12" t="s">
        <v>46</v>
      </c>
    </row>
    <row r="157" spans="1:16" ht="20.25" customHeight="1">
      <c r="A157" s="3">
        <f>ROW() - ROW(CertTracker[[#Headers],[Index]])</f>
        <v>156</v>
      </c>
      <c r="B157" s="26" t="s">
        <v>488</v>
      </c>
      <c r="C157" s="4" t="s">
        <v>489</v>
      </c>
      <c r="D157" s="3" t="s">
        <v>5</v>
      </c>
      <c r="E157" s="27" t="s">
        <v>43</v>
      </c>
      <c r="F157" s="4" t="s">
        <v>12</v>
      </c>
      <c r="G157" s="27" t="s">
        <v>44</v>
      </c>
      <c r="H157" s="32"/>
      <c r="I157" s="32"/>
      <c r="O157" s="12" t="s">
        <v>54</v>
      </c>
      <c r="P157" s="12" t="s">
        <v>46</v>
      </c>
    </row>
    <row r="158" spans="1:16" ht="20.25" customHeight="1">
      <c r="A158" s="3">
        <f>ROW() - ROW(CertTracker[[#Headers],[Index]])</f>
        <v>157</v>
      </c>
      <c r="B158" s="26" t="s">
        <v>490</v>
      </c>
      <c r="C158" s="4" t="s">
        <v>491</v>
      </c>
      <c r="D158" s="3" t="s">
        <v>5</v>
      </c>
      <c r="E158" s="27" t="s">
        <v>43</v>
      </c>
      <c r="F158" s="4" t="s">
        <v>12</v>
      </c>
      <c r="G158" s="27" t="s">
        <v>44</v>
      </c>
      <c r="H158" s="32"/>
      <c r="I158" s="32"/>
      <c r="O158" s="12" t="s">
        <v>54</v>
      </c>
      <c r="P158" s="12" t="s">
        <v>46</v>
      </c>
    </row>
    <row r="159" spans="1:16" ht="20.25" customHeight="1">
      <c r="A159" s="3">
        <f>ROW() - ROW(CertTracker[[#Headers],[Index]])</f>
        <v>158</v>
      </c>
      <c r="B159" s="26" t="s">
        <v>492</v>
      </c>
      <c r="C159" s="4" t="s">
        <v>493</v>
      </c>
      <c r="D159" s="3" t="s">
        <v>5</v>
      </c>
      <c r="E159" s="27" t="s">
        <v>43</v>
      </c>
      <c r="F159" s="4" t="s">
        <v>12</v>
      </c>
      <c r="G159" s="27" t="s">
        <v>44</v>
      </c>
      <c r="H159" s="32"/>
      <c r="I159" s="32"/>
      <c r="O159" s="12" t="s">
        <v>54</v>
      </c>
      <c r="P159" s="12" t="s">
        <v>46</v>
      </c>
    </row>
    <row r="160" spans="1:16" ht="20.25" customHeight="1">
      <c r="A160" s="3">
        <f>ROW() - ROW(CertTracker[[#Headers],[Index]])</f>
        <v>159</v>
      </c>
      <c r="B160" s="26" t="s">
        <v>494</v>
      </c>
      <c r="C160" s="4" t="s">
        <v>495</v>
      </c>
      <c r="D160" s="3" t="s">
        <v>5</v>
      </c>
      <c r="E160" s="27" t="s">
        <v>43</v>
      </c>
      <c r="F160" s="4" t="s">
        <v>496</v>
      </c>
      <c r="G160" s="27" t="s">
        <v>44</v>
      </c>
      <c r="H160" s="32"/>
      <c r="I160" s="32"/>
      <c r="O160" s="12" t="s">
        <v>54</v>
      </c>
      <c r="P160" s="12" t="s">
        <v>46</v>
      </c>
    </row>
    <row r="161" spans="1:16" ht="20.25" customHeight="1">
      <c r="A161" s="3">
        <f>ROW() - ROW(CertTracker[[#Headers],[Index]])</f>
        <v>160</v>
      </c>
      <c r="B161" s="26" t="s">
        <v>497</v>
      </c>
      <c r="C161" s="4" t="s">
        <v>498</v>
      </c>
      <c r="D161" s="3" t="s">
        <v>5</v>
      </c>
      <c r="E161" s="27" t="s">
        <v>499</v>
      </c>
      <c r="F161" s="4" t="s">
        <v>19</v>
      </c>
      <c r="G161" s="27" t="s">
        <v>95</v>
      </c>
      <c r="H161" s="32">
        <v>46166</v>
      </c>
      <c r="I161" s="32"/>
      <c r="O161" s="12" t="s">
        <v>500</v>
      </c>
      <c r="P161" s="12" t="s">
        <v>96</v>
      </c>
    </row>
    <row r="162" spans="1:16" ht="20.25" customHeight="1">
      <c r="A162" s="3">
        <f>ROW() - ROW(CertTracker[[#Headers],[Index]])</f>
        <v>161</v>
      </c>
      <c r="B162" s="26" t="s">
        <v>501</v>
      </c>
      <c r="C162" s="4" t="s">
        <v>502</v>
      </c>
      <c r="D162" s="3" t="s">
        <v>4</v>
      </c>
      <c r="E162" s="27" t="s">
        <v>9</v>
      </c>
      <c r="F162" s="4" t="s">
        <v>21</v>
      </c>
      <c r="G162" s="27" t="s">
        <v>416</v>
      </c>
      <c r="H162" s="32">
        <v>46192</v>
      </c>
      <c r="I162" s="32">
        <v>46223</v>
      </c>
      <c r="P162" s="12" t="s">
        <v>140</v>
      </c>
    </row>
    <row r="163" spans="1:16" ht="20.25" customHeight="1">
      <c r="A163" s="3">
        <f>ROW() - ROW(CertTracker[[#Headers],[Index]])</f>
        <v>162</v>
      </c>
      <c r="B163" s="26" t="s">
        <v>503</v>
      </c>
      <c r="C163" s="4" t="s">
        <v>504</v>
      </c>
      <c r="D163" s="3" t="s">
        <v>3</v>
      </c>
      <c r="E163" s="27" t="s">
        <v>170</v>
      </c>
      <c r="F163" s="4" t="s">
        <v>18</v>
      </c>
      <c r="G163" s="27" t="s">
        <v>44</v>
      </c>
      <c r="H163" s="32">
        <v>46172</v>
      </c>
      <c r="I163" s="32">
        <v>46187</v>
      </c>
    </row>
    <row r="164" spans="1:16" ht="20.25" customHeight="1">
      <c r="A164" s="3">
        <f>ROW() - ROW(CertTracker[[#Headers],[Index]])</f>
        <v>163</v>
      </c>
      <c r="B164" s="26" t="s">
        <v>505</v>
      </c>
      <c r="C164" s="4" t="s">
        <v>506</v>
      </c>
      <c r="D164" s="10" t="s">
        <v>4</v>
      </c>
      <c r="E164" s="27" t="s">
        <v>20</v>
      </c>
      <c r="F164" s="4" t="s">
        <v>20</v>
      </c>
      <c r="G164" s="27" t="s">
        <v>416</v>
      </c>
      <c r="H164" s="32">
        <v>46171</v>
      </c>
      <c r="I164" s="32"/>
      <c r="P164" s="12" t="s">
        <v>51</v>
      </c>
    </row>
    <row r="165" spans="1:16" ht="20.25" customHeight="1">
      <c r="A165" s="3">
        <f>ROW() - ROW(CertTracker[[#Headers],[Index]])</f>
        <v>164</v>
      </c>
      <c r="B165" s="26" t="s">
        <v>507</v>
      </c>
      <c r="C165" s="4" t="s">
        <v>508</v>
      </c>
      <c r="D165" s="3" t="s">
        <v>4</v>
      </c>
      <c r="E165" s="27" t="s">
        <v>509</v>
      </c>
      <c r="F165" s="4" t="s">
        <v>20</v>
      </c>
      <c r="G165" s="27" t="s">
        <v>416</v>
      </c>
      <c r="H165" s="32">
        <v>46189</v>
      </c>
      <c r="I165" s="32">
        <v>46197</v>
      </c>
      <c r="P165" s="12" t="s">
        <v>51</v>
      </c>
    </row>
    <row r="166" spans="1:16" ht="20.25" customHeight="1">
      <c r="A166" s="3">
        <f>ROW() - ROW(CertTracker[[#Headers],[Index]])</f>
        <v>165</v>
      </c>
      <c r="B166" s="26" t="s">
        <v>510</v>
      </c>
      <c r="C166" s="4" t="s">
        <v>511</v>
      </c>
      <c r="D166" s="3" t="s">
        <v>4</v>
      </c>
      <c r="E166" s="27" t="s">
        <v>470</v>
      </c>
      <c r="F166" s="4" t="s">
        <v>18</v>
      </c>
      <c r="G166" s="27" t="s">
        <v>44</v>
      </c>
      <c r="H166" s="32">
        <v>46188</v>
      </c>
      <c r="I166" s="32">
        <v>46221</v>
      </c>
      <c r="J166" s="12" t="s">
        <v>512</v>
      </c>
      <c r="K166" s="32"/>
    </row>
    <row r="167" spans="1:16" ht="20.25" customHeight="1">
      <c r="A167" s="3">
        <f>ROW() - ROW(CertTracker[[#Headers],[Index]])</f>
        <v>166</v>
      </c>
      <c r="B167" s="26" t="s">
        <v>513</v>
      </c>
      <c r="C167" s="4" t="s">
        <v>514</v>
      </c>
      <c r="D167" s="3" t="s">
        <v>5</v>
      </c>
      <c r="E167" s="27" t="s">
        <v>515</v>
      </c>
      <c r="F167" s="4" t="s">
        <v>20</v>
      </c>
      <c r="G167" s="27" t="s">
        <v>516</v>
      </c>
      <c r="H167" s="32">
        <v>46167</v>
      </c>
      <c r="I167" s="32">
        <v>46203</v>
      </c>
      <c r="O167" s="12" t="s">
        <v>51</v>
      </c>
      <c r="P167" s="12" t="s">
        <v>51</v>
      </c>
    </row>
    <row r="168" spans="1:16" ht="20.25" customHeight="1">
      <c r="A168" s="3">
        <f>ROW() - ROW(CertTracker[[#Headers],[Index]])</f>
        <v>167</v>
      </c>
      <c r="B168" s="26" t="s">
        <v>517</v>
      </c>
      <c r="C168" s="4" t="s">
        <v>518</v>
      </c>
      <c r="D168" s="3" t="s">
        <v>4</v>
      </c>
      <c r="E168" s="27" t="s">
        <v>470</v>
      </c>
      <c r="F168" s="4" t="s">
        <v>18</v>
      </c>
      <c r="G168" s="27" t="s">
        <v>44</v>
      </c>
      <c r="H168" s="32">
        <v>46190</v>
      </c>
      <c r="I168" s="32"/>
    </row>
    <row r="169" spans="1:16" ht="20.25" customHeight="1">
      <c r="A169" s="3">
        <f>ROW() - ROW(CertTracker[[#Headers],[Index]])</f>
        <v>168</v>
      </c>
      <c r="B169" s="26" t="s">
        <v>519</v>
      </c>
      <c r="C169" s="4" t="s">
        <v>520</v>
      </c>
      <c r="D169" s="3" t="s">
        <v>5</v>
      </c>
      <c r="E169" s="27" t="s">
        <v>20</v>
      </c>
      <c r="F169" s="4" t="s">
        <v>20</v>
      </c>
      <c r="G169" s="27" t="s">
        <v>416</v>
      </c>
      <c r="H169" s="32">
        <v>46171</v>
      </c>
      <c r="I169" s="32"/>
      <c r="O169" s="12" t="s">
        <v>51</v>
      </c>
      <c r="P169" s="12" t="s">
        <v>51</v>
      </c>
    </row>
    <row r="170" spans="1:16" ht="20.25" customHeight="1">
      <c r="A170" s="3">
        <f>ROW() - ROW(CertTracker[[#Headers],[Index]])</f>
        <v>169</v>
      </c>
      <c r="B170" s="26" t="s">
        <v>521</v>
      </c>
      <c r="C170" s="4" t="s">
        <v>522</v>
      </c>
      <c r="D170" s="3" t="s">
        <v>4</v>
      </c>
      <c r="E170" s="27" t="s">
        <v>11</v>
      </c>
      <c r="F170" s="4" t="s">
        <v>19</v>
      </c>
      <c r="G170" s="27" t="s">
        <v>95</v>
      </c>
      <c r="H170" s="32">
        <v>46188</v>
      </c>
      <c r="I170" s="32"/>
      <c r="P170" s="12" t="s">
        <v>96</v>
      </c>
    </row>
    <row r="171" spans="1:16" ht="20.25" customHeight="1">
      <c r="A171" s="3">
        <f>ROW() - ROW(CertTracker[[#Headers],[Index]])</f>
        <v>170</v>
      </c>
      <c r="B171" s="26" t="s">
        <v>523</v>
      </c>
      <c r="C171" s="4" t="s">
        <v>524</v>
      </c>
      <c r="D171" s="3" t="s">
        <v>4</v>
      </c>
      <c r="E171" s="27" t="s">
        <v>363</v>
      </c>
      <c r="F171" s="4" t="s">
        <v>18</v>
      </c>
      <c r="G171" s="27" t="s">
        <v>525</v>
      </c>
      <c r="H171" s="32"/>
      <c r="I171" s="32"/>
    </row>
    <row r="172" spans="1:16" ht="20.25" customHeight="1">
      <c r="A172" s="3">
        <f>ROW() - ROW(CertTracker[[#Headers],[Index]])</f>
        <v>171</v>
      </c>
      <c r="B172" s="26" t="s">
        <v>499</v>
      </c>
      <c r="C172" s="4" t="s">
        <v>526</v>
      </c>
      <c r="D172" s="3" t="s">
        <v>5</v>
      </c>
      <c r="E172" s="27" t="s">
        <v>19</v>
      </c>
      <c r="F172" s="4" t="s">
        <v>19</v>
      </c>
      <c r="G172" s="27" t="s">
        <v>95</v>
      </c>
      <c r="H172" s="32">
        <v>46028</v>
      </c>
      <c r="I172" s="32">
        <v>46198</v>
      </c>
      <c r="O172" s="12" t="s">
        <v>96</v>
      </c>
      <c r="P172" s="12" t="s">
        <v>96</v>
      </c>
    </row>
    <row r="173" spans="1:16" ht="20.25" customHeight="1">
      <c r="A173" s="3">
        <f>ROW() - ROW(CertTracker[[#Headers],[Index]])</f>
        <v>172</v>
      </c>
      <c r="B173" s="26" t="s">
        <v>527</v>
      </c>
      <c r="C173" s="4" t="s">
        <v>528</v>
      </c>
      <c r="D173" s="3" t="s">
        <v>4</v>
      </c>
      <c r="E173" s="27" t="s">
        <v>348</v>
      </c>
      <c r="F173" s="4" t="s">
        <v>9</v>
      </c>
      <c r="G173" s="27" t="s">
        <v>416</v>
      </c>
      <c r="H173" s="32">
        <v>46193</v>
      </c>
      <c r="I173" s="32">
        <v>46200</v>
      </c>
      <c r="J173" s="20" t="s">
        <v>529</v>
      </c>
    </row>
    <row r="174" spans="1:16" ht="20.25" customHeight="1">
      <c r="A174" s="3">
        <f>ROW() - ROW(CertTracker[[#Headers],[Index]])</f>
        <v>173</v>
      </c>
      <c r="B174" s="26" t="s">
        <v>530</v>
      </c>
      <c r="C174" s="4" t="s">
        <v>531</v>
      </c>
      <c r="D174" s="3" t="s">
        <v>4</v>
      </c>
      <c r="E174" s="27" t="s">
        <v>11</v>
      </c>
      <c r="F174" s="4" t="s">
        <v>19</v>
      </c>
      <c r="G174" s="27" t="s">
        <v>95</v>
      </c>
      <c r="H174" s="32">
        <v>46183</v>
      </c>
      <c r="I174" s="32"/>
      <c r="P174" s="12" t="s">
        <v>96</v>
      </c>
    </row>
    <row r="175" spans="1:16" ht="20.25" customHeight="1">
      <c r="A175" s="3">
        <f>ROW() - ROW(CertTracker[[#Headers],[Index]])</f>
        <v>174</v>
      </c>
      <c r="B175" s="26" t="s">
        <v>532</v>
      </c>
      <c r="C175" s="4" t="s">
        <v>533</v>
      </c>
      <c r="D175" s="3" t="s">
        <v>4</v>
      </c>
      <c r="E175" s="27" t="s">
        <v>224</v>
      </c>
      <c r="F175" s="4" t="s">
        <v>11</v>
      </c>
      <c r="G175" s="27" t="s">
        <v>420</v>
      </c>
      <c r="H175" s="32">
        <v>46162</v>
      </c>
      <c r="I175" s="32">
        <v>46207</v>
      </c>
      <c r="J175" s="20" t="s">
        <v>534</v>
      </c>
      <c r="P175" s="12" t="s">
        <v>422</v>
      </c>
    </row>
    <row r="176" spans="1:16" ht="20.25" customHeight="1">
      <c r="A176" s="3">
        <f>ROW() - ROW(CertTracker[[#Headers],[Index]])</f>
        <v>175</v>
      </c>
      <c r="B176" s="26" t="s">
        <v>535</v>
      </c>
      <c r="C176" s="4" t="s">
        <v>536</v>
      </c>
      <c r="D176" s="3" t="s">
        <v>4</v>
      </c>
      <c r="E176" s="27" t="s">
        <v>224</v>
      </c>
      <c r="F176" s="4" t="s">
        <v>20</v>
      </c>
      <c r="G176" s="27" t="s">
        <v>416</v>
      </c>
      <c r="H176" s="32">
        <v>46187</v>
      </c>
      <c r="I176" s="32">
        <v>46202</v>
      </c>
      <c r="J176" s="29" t="s">
        <v>537</v>
      </c>
      <c r="P176" s="12" t="s">
        <v>51</v>
      </c>
    </row>
    <row r="177" spans="1:16" ht="20.25" customHeight="1">
      <c r="A177" s="3">
        <f>ROW() - ROW(CertTracker[[#Headers],[Index]])</f>
        <v>176</v>
      </c>
      <c r="B177" s="26" t="s">
        <v>538</v>
      </c>
      <c r="C177" s="4" t="s">
        <v>539</v>
      </c>
      <c r="D177" s="3" t="s">
        <v>3</v>
      </c>
      <c r="E177" s="27" t="s">
        <v>224</v>
      </c>
      <c r="F177" s="4" t="s">
        <v>20</v>
      </c>
      <c r="G177" s="27" t="s">
        <v>416</v>
      </c>
      <c r="H177" s="32">
        <v>46166</v>
      </c>
      <c r="I177" s="32">
        <v>46197</v>
      </c>
      <c r="P177" s="12" t="s">
        <v>51</v>
      </c>
    </row>
    <row r="178" spans="1:16" ht="20.25" customHeight="1">
      <c r="A178" s="3">
        <f>ROW() - ROW(CertTracker[[#Headers],[Index]])</f>
        <v>177</v>
      </c>
      <c r="B178" s="26" t="s">
        <v>540</v>
      </c>
      <c r="C178" s="4" t="s">
        <v>541</v>
      </c>
      <c r="D178" s="3" t="s">
        <v>4</v>
      </c>
      <c r="E178" s="27" t="s">
        <v>224</v>
      </c>
      <c r="F178" s="4" t="s">
        <v>11</v>
      </c>
      <c r="G178" s="27" t="s">
        <v>416</v>
      </c>
      <c r="H178" s="32">
        <v>46185</v>
      </c>
      <c r="I178" s="32">
        <v>46197</v>
      </c>
      <c r="J178" s="29" t="s">
        <v>542</v>
      </c>
      <c r="P178" s="12" t="s">
        <v>422</v>
      </c>
    </row>
    <row r="179" spans="1:16" ht="20.25" customHeight="1">
      <c r="A179" s="3">
        <f>ROW() - ROW(CertTracker[[#Headers],[Index]])</f>
        <v>178</v>
      </c>
      <c r="B179" s="26" t="s">
        <v>543</v>
      </c>
      <c r="C179" s="4" t="s">
        <v>544</v>
      </c>
      <c r="D179" s="3" t="s">
        <v>4</v>
      </c>
      <c r="E179" s="27" t="s">
        <v>10</v>
      </c>
      <c r="F179" s="4" t="s">
        <v>10</v>
      </c>
      <c r="G179" s="27" t="s">
        <v>105</v>
      </c>
      <c r="H179" s="32">
        <v>46154</v>
      </c>
      <c r="I179" s="32">
        <v>46201</v>
      </c>
      <c r="J179" s="29" t="s">
        <v>545</v>
      </c>
    </row>
    <row r="180" spans="1:16" ht="20.25" customHeight="1">
      <c r="A180" s="3">
        <f>ROW() - ROW(CertTracker[[#Headers],[Index]])</f>
        <v>179</v>
      </c>
      <c r="B180" s="26" t="s">
        <v>546</v>
      </c>
      <c r="C180" s="4" t="s">
        <v>547</v>
      </c>
      <c r="D180" s="3" t="s">
        <v>4</v>
      </c>
      <c r="E180" s="27" t="s">
        <v>224</v>
      </c>
      <c r="F180" s="4" t="s">
        <v>11</v>
      </c>
      <c r="G180" s="27" t="s">
        <v>420</v>
      </c>
      <c r="H180" s="32">
        <v>46174</v>
      </c>
      <c r="I180" s="32">
        <v>46199</v>
      </c>
      <c r="P180" s="12" t="s">
        <v>422</v>
      </c>
    </row>
    <row r="181" spans="1:16" ht="20.25" customHeight="1">
      <c r="A181" s="3">
        <f>ROW() - ROW(CertTracker[[#Headers],[Index]])</f>
        <v>180</v>
      </c>
      <c r="B181" s="26" t="s">
        <v>548</v>
      </c>
      <c r="C181" s="4" t="s">
        <v>549</v>
      </c>
      <c r="D181" s="3" t="s">
        <v>5</v>
      </c>
      <c r="E181" s="27" t="s">
        <v>87</v>
      </c>
      <c r="F181" s="4" t="s">
        <v>8</v>
      </c>
      <c r="G181" s="27" t="s">
        <v>88</v>
      </c>
      <c r="H181" s="32">
        <v>46174</v>
      </c>
      <c r="I181" s="32"/>
      <c r="O181" s="12" t="s">
        <v>550</v>
      </c>
      <c r="P181" s="12" t="s">
        <v>90</v>
      </c>
    </row>
    <row r="182" spans="1:16" ht="20.25" customHeight="1">
      <c r="A182" s="3">
        <f>ROW() - ROW(CertTracker[[#Headers],[Index]])</f>
        <v>181</v>
      </c>
      <c r="B182" s="26" t="s">
        <v>551</v>
      </c>
      <c r="C182" s="4" t="s">
        <v>552</v>
      </c>
      <c r="D182" s="3" t="s">
        <v>4</v>
      </c>
      <c r="E182" s="27" t="s">
        <v>11</v>
      </c>
      <c r="F182" s="4" t="s">
        <v>19</v>
      </c>
      <c r="G182" s="27" t="s">
        <v>95</v>
      </c>
      <c r="H182" s="32">
        <v>46182</v>
      </c>
      <c r="I182" s="32"/>
      <c r="P182" s="12" t="s">
        <v>96</v>
      </c>
    </row>
    <row r="183" spans="1:16" ht="20.25" customHeight="1">
      <c r="A183" s="3">
        <f>ROW() - ROW(CertTracker[[#Headers],[Index]])</f>
        <v>182</v>
      </c>
      <c r="B183" s="26" t="s">
        <v>553</v>
      </c>
      <c r="C183" s="4" t="s">
        <v>554</v>
      </c>
      <c r="D183" s="3" t="s">
        <v>4</v>
      </c>
      <c r="E183" s="27" t="s">
        <v>11</v>
      </c>
      <c r="F183" s="4" t="s">
        <v>19</v>
      </c>
      <c r="G183" s="27" t="s">
        <v>95</v>
      </c>
      <c r="H183" s="32">
        <v>46181</v>
      </c>
      <c r="I183" s="32"/>
      <c r="J183" s="12" t="s">
        <v>555</v>
      </c>
      <c r="P183" s="12" t="s">
        <v>96</v>
      </c>
    </row>
    <row r="184" spans="1:16" ht="20.25" customHeight="1">
      <c r="A184" s="3">
        <f>ROW() - ROW(CertTracker[[#Headers],[Index]])</f>
        <v>183</v>
      </c>
      <c r="B184" s="26" t="s">
        <v>556</v>
      </c>
      <c r="C184" s="4" t="s">
        <v>557</v>
      </c>
      <c r="D184" s="3" t="s">
        <v>5</v>
      </c>
      <c r="E184" s="27" t="s">
        <v>224</v>
      </c>
      <c r="F184" s="4" t="s">
        <v>11</v>
      </c>
      <c r="G184" s="27" t="s">
        <v>420</v>
      </c>
      <c r="H184" s="32" t="s">
        <v>558</v>
      </c>
      <c r="I184" s="32">
        <v>46215</v>
      </c>
      <c r="O184" s="12" t="s">
        <v>424</v>
      </c>
      <c r="P184" s="12" t="s">
        <v>422</v>
      </c>
    </row>
    <row r="185" spans="1:16" ht="20.25" customHeight="1">
      <c r="A185" s="3">
        <f>ROW() - ROW(CertTracker[[#Headers],[Index]])</f>
        <v>184</v>
      </c>
      <c r="B185" s="26" t="s">
        <v>559</v>
      </c>
      <c r="C185" s="4" t="s">
        <v>560</v>
      </c>
      <c r="D185" s="3" t="s">
        <v>4</v>
      </c>
      <c r="E185" s="27" t="s">
        <v>452</v>
      </c>
      <c r="F185" s="4" t="s">
        <v>19</v>
      </c>
      <c r="G185" s="27" t="s">
        <v>95</v>
      </c>
      <c r="H185" s="32">
        <v>46362</v>
      </c>
      <c r="I185" s="32" t="s">
        <v>561</v>
      </c>
      <c r="J185" s="20" t="s">
        <v>562</v>
      </c>
      <c r="P185" s="12" t="s">
        <v>96</v>
      </c>
    </row>
    <row r="186" spans="1:16" ht="20.25" customHeight="1">
      <c r="A186" s="3">
        <f>ROW() - ROW(CertTracker[[#Headers],[Index]])</f>
        <v>185</v>
      </c>
      <c r="B186" s="26" t="s">
        <v>563</v>
      </c>
      <c r="C186" s="4" t="s">
        <v>564</v>
      </c>
      <c r="D186" s="3" t="s">
        <v>4</v>
      </c>
      <c r="E186" s="27" t="s">
        <v>11</v>
      </c>
      <c r="F186" s="4" t="s">
        <v>19</v>
      </c>
      <c r="G186" s="27" t="s">
        <v>95</v>
      </c>
      <c r="H186" s="32" t="s">
        <v>256</v>
      </c>
      <c r="I186" s="32"/>
      <c r="P186" s="12" t="s">
        <v>96</v>
      </c>
    </row>
    <row r="187" spans="1:16" ht="20.25" customHeight="1">
      <c r="A187" s="3">
        <f>ROW() - ROW(CertTracker[[#Headers],[Index]])</f>
        <v>186</v>
      </c>
      <c r="B187" s="26" t="s">
        <v>565</v>
      </c>
      <c r="C187" s="4" t="s">
        <v>566</v>
      </c>
      <c r="D187" s="3" t="s">
        <v>4</v>
      </c>
      <c r="E187" s="27" t="s">
        <v>11</v>
      </c>
      <c r="F187" s="4" t="s">
        <v>19</v>
      </c>
      <c r="G187" s="27" t="s">
        <v>95</v>
      </c>
      <c r="H187" s="32" t="s">
        <v>567</v>
      </c>
      <c r="I187" s="32"/>
      <c r="P187" s="12" t="s">
        <v>96</v>
      </c>
    </row>
    <row r="188" spans="1:16" ht="20.25" customHeight="1">
      <c r="A188" s="3">
        <f>ROW() - ROW(CertTracker[[#Headers],[Index]])</f>
        <v>187</v>
      </c>
      <c r="B188" s="26" t="s">
        <v>568</v>
      </c>
      <c r="C188" s="4" t="s">
        <v>569</v>
      </c>
      <c r="D188" s="3" t="s">
        <v>4</v>
      </c>
      <c r="E188" s="27" t="s">
        <v>11</v>
      </c>
      <c r="F188" s="4" t="s">
        <v>19</v>
      </c>
      <c r="G188" s="27" t="s">
        <v>95</v>
      </c>
      <c r="H188" s="32" t="s">
        <v>570</v>
      </c>
      <c r="I188" s="32" t="s">
        <v>571</v>
      </c>
      <c r="P188" s="12" t="s">
        <v>96</v>
      </c>
    </row>
    <row r="189" spans="1:16" ht="20.25" customHeight="1">
      <c r="A189" s="3">
        <f>ROW() - ROW(CertTracker[[#Headers],[Index]])</f>
        <v>188</v>
      </c>
      <c r="B189" s="26" t="s">
        <v>572</v>
      </c>
      <c r="C189" s="4" t="s">
        <v>573</v>
      </c>
      <c r="D189" s="3" t="s">
        <v>5</v>
      </c>
      <c r="E189" s="27" t="s">
        <v>143</v>
      </c>
      <c r="F189" s="4" t="s">
        <v>16</v>
      </c>
      <c r="G189" s="27" t="s">
        <v>105</v>
      </c>
      <c r="H189" s="32" t="s">
        <v>574</v>
      </c>
      <c r="I189" s="32">
        <v>46203</v>
      </c>
      <c r="O189" s="12" t="s">
        <v>575</v>
      </c>
      <c r="P189" s="12" t="s">
        <v>107</v>
      </c>
    </row>
    <row r="190" spans="1:16" ht="20.25" customHeight="1">
      <c r="A190" s="3">
        <f>ROW() - ROW(CertTracker[[#Headers],[Index]])</f>
        <v>189</v>
      </c>
      <c r="B190" s="26" t="s">
        <v>576</v>
      </c>
      <c r="C190" s="4" t="s">
        <v>577</v>
      </c>
      <c r="D190" s="3" t="s">
        <v>4</v>
      </c>
      <c r="E190" s="27" t="s">
        <v>452</v>
      </c>
      <c r="F190" s="4" t="s">
        <v>19</v>
      </c>
      <c r="G190" s="27" t="s">
        <v>95</v>
      </c>
      <c r="H190" s="32" t="s">
        <v>574</v>
      </c>
      <c r="I190" s="32" t="s">
        <v>578</v>
      </c>
      <c r="J190" s="19" t="s">
        <v>579</v>
      </c>
      <c r="P190" s="12" t="s">
        <v>96</v>
      </c>
    </row>
    <row r="191" spans="1:16" ht="20.25" customHeight="1">
      <c r="A191" s="3">
        <f>ROW() - ROW(CertTracker[[#Headers],[Index]])</f>
        <v>190</v>
      </c>
      <c r="B191" s="26" t="s">
        <v>580</v>
      </c>
      <c r="C191" s="4" t="s">
        <v>581</v>
      </c>
      <c r="D191" s="3" t="s">
        <v>4</v>
      </c>
      <c r="E191" s="27" t="s">
        <v>452</v>
      </c>
      <c r="F191" s="4" t="s">
        <v>19</v>
      </c>
      <c r="G191" s="27" t="s">
        <v>95</v>
      </c>
      <c r="H191" s="32" t="s">
        <v>574</v>
      </c>
      <c r="I191" s="32" t="s">
        <v>578</v>
      </c>
      <c r="J191" s="19" t="s">
        <v>582</v>
      </c>
      <c r="P191" s="12" t="s">
        <v>96</v>
      </c>
    </row>
    <row r="192" spans="1:16" ht="20.25" customHeight="1">
      <c r="A192" s="3">
        <f>ROW() - ROW(CertTracker[[#Headers],[Index]])</f>
        <v>191</v>
      </c>
      <c r="B192" s="26" t="s">
        <v>583</v>
      </c>
      <c r="C192" s="4" t="s">
        <v>584</v>
      </c>
      <c r="D192" s="3" t="s">
        <v>3</v>
      </c>
      <c r="E192" s="27" t="s">
        <v>20</v>
      </c>
      <c r="F192" s="4" t="s">
        <v>20</v>
      </c>
      <c r="G192" s="27" t="s">
        <v>416</v>
      </c>
      <c r="H192" s="32" t="s">
        <v>570</v>
      </c>
      <c r="I192" s="32" t="s">
        <v>585</v>
      </c>
      <c r="P192" s="12" t="s">
        <v>51</v>
      </c>
    </row>
    <row r="193" spans="1:16" ht="20.25" customHeight="1">
      <c r="A193" s="3">
        <f>ROW() - ROW(CertTracker[[#Headers],[Index]])</f>
        <v>192</v>
      </c>
      <c r="B193" s="26" t="s">
        <v>586</v>
      </c>
      <c r="C193" s="4" t="s">
        <v>587</v>
      </c>
      <c r="D193" s="3" t="s">
        <v>4</v>
      </c>
      <c r="E193" s="27" t="s">
        <v>19</v>
      </c>
      <c r="F193" s="4" t="s">
        <v>19</v>
      </c>
      <c r="G193" s="27" t="s">
        <v>95</v>
      </c>
      <c r="H193" s="32">
        <v>46028</v>
      </c>
      <c r="I193" s="32">
        <v>46215</v>
      </c>
      <c r="J193" s="25" t="s">
        <v>588</v>
      </c>
      <c r="P193" s="12" t="s">
        <v>96</v>
      </c>
    </row>
    <row r="194" spans="1:16" ht="20.25" customHeight="1">
      <c r="A194" s="3">
        <f>ROW() - ROW(CertTracker[[#Headers],[Index]])</f>
        <v>193</v>
      </c>
      <c r="B194" s="26" t="s">
        <v>589</v>
      </c>
      <c r="C194" s="4" t="s">
        <v>590</v>
      </c>
      <c r="D194" s="3" t="s">
        <v>4</v>
      </c>
      <c r="E194" s="27" t="s">
        <v>87</v>
      </c>
      <c r="F194" s="4" t="s">
        <v>8</v>
      </c>
      <c r="G194" s="27" t="s">
        <v>105</v>
      </c>
      <c r="H194" s="32" t="s">
        <v>591</v>
      </c>
      <c r="I194" s="32" t="s">
        <v>567</v>
      </c>
      <c r="J194" s="12" t="s">
        <v>592</v>
      </c>
      <c r="P194" s="12" t="s">
        <v>90</v>
      </c>
    </row>
    <row r="195" spans="1:16" ht="20.25" customHeight="1">
      <c r="A195" s="3">
        <f>ROW() - ROW(CertTracker[[#Headers],[Index]])</f>
        <v>194</v>
      </c>
      <c r="B195" s="26" t="s">
        <v>593</v>
      </c>
      <c r="C195" s="4" t="s">
        <v>594</v>
      </c>
      <c r="D195" s="3" t="s">
        <v>5</v>
      </c>
      <c r="E195" s="27" t="s">
        <v>47</v>
      </c>
      <c r="F195" s="4" t="s">
        <v>20</v>
      </c>
      <c r="G195" s="27" t="s">
        <v>416</v>
      </c>
      <c r="H195" s="32" t="s">
        <v>595</v>
      </c>
      <c r="I195" s="32">
        <v>46202</v>
      </c>
      <c r="O195" s="12" t="s">
        <v>48</v>
      </c>
      <c r="P195" s="12" t="s">
        <v>51</v>
      </c>
    </row>
    <row r="196" spans="1:16" ht="20.25" customHeight="1">
      <c r="A196" s="3">
        <f>ROW() - ROW(CertTracker[[#Headers],[Index]])</f>
        <v>195</v>
      </c>
      <c r="B196" s="26" t="s">
        <v>596</v>
      </c>
      <c r="C196" s="4" t="s">
        <v>597</v>
      </c>
      <c r="D196" s="3" t="s">
        <v>4</v>
      </c>
      <c r="E196" s="27" t="s">
        <v>143</v>
      </c>
      <c r="F196" s="4" t="s">
        <v>16</v>
      </c>
      <c r="G196" s="27" t="s">
        <v>105</v>
      </c>
      <c r="H196" s="32">
        <v>46028</v>
      </c>
      <c r="I196" s="32"/>
      <c r="O196" s="12" t="s">
        <v>575</v>
      </c>
      <c r="P196" s="12" t="s">
        <v>107</v>
      </c>
    </row>
    <row r="197" spans="1:16" ht="20.25" customHeight="1">
      <c r="A197" s="3">
        <f>ROW() - ROW(CertTracker[[#Headers],[Index]])</f>
        <v>196</v>
      </c>
      <c r="B197" s="26" t="s">
        <v>598</v>
      </c>
      <c r="C197" s="4" t="s">
        <v>599</v>
      </c>
      <c r="D197" s="3" t="s">
        <v>5</v>
      </c>
      <c r="E197" s="27" t="s">
        <v>395</v>
      </c>
      <c r="F197" s="4" t="s">
        <v>17</v>
      </c>
      <c r="G197" s="27"/>
      <c r="H197" s="32">
        <v>46301</v>
      </c>
      <c r="I197" s="32"/>
      <c r="O197" s="12" t="s">
        <v>600</v>
      </c>
      <c r="P197" s="12" t="s">
        <v>601</v>
      </c>
    </row>
    <row r="198" spans="1:16" ht="20.25" customHeight="1">
      <c r="A198" s="3">
        <f>ROW() - ROW(CertTracker[[#Headers],[Index]])</f>
        <v>197</v>
      </c>
      <c r="B198" s="26" t="s">
        <v>602</v>
      </c>
      <c r="C198" s="4" t="s">
        <v>603</v>
      </c>
      <c r="D198" s="3" t="s">
        <v>3</v>
      </c>
      <c r="E198" s="27" t="s">
        <v>224</v>
      </c>
      <c r="F198" s="4" t="s">
        <v>11</v>
      </c>
      <c r="G198" s="27" t="s">
        <v>420</v>
      </c>
      <c r="H198" s="32"/>
      <c r="I198" s="32">
        <v>46201</v>
      </c>
      <c r="P198" s="12" t="s">
        <v>422</v>
      </c>
    </row>
    <row r="199" spans="1:16" ht="20.25" customHeight="1">
      <c r="A199" s="3">
        <f>ROW() - ROW(CertTracker[[#Headers],[Index]])</f>
        <v>198</v>
      </c>
      <c r="B199" s="26" t="s">
        <v>604</v>
      </c>
      <c r="C199" s="4" t="s">
        <v>605</v>
      </c>
      <c r="D199" s="3" t="s">
        <v>5</v>
      </c>
      <c r="E199" s="27" t="s">
        <v>47</v>
      </c>
      <c r="F199" s="4" t="s">
        <v>20</v>
      </c>
      <c r="G199" s="27" t="s">
        <v>516</v>
      </c>
      <c r="H199" s="32" t="s">
        <v>606</v>
      </c>
      <c r="I199" s="32"/>
      <c r="O199" s="12" t="s">
        <v>48</v>
      </c>
      <c r="P199" s="12" t="s">
        <v>51</v>
      </c>
    </row>
    <row r="200" spans="1:16" ht="20.25" customHeight="1">
      <c r="A200" s="3">
        <f>ROW() - ROW(CertTracker[[#Headers],[Index]])</f>
        <v>199</v>
      </c>
      <c r="B200" s="26" t="s">
        <v>607</v>
      </c>
      <c r="C200" s="4" t="s">
        <v>608</v>
      </c>
      <c r="D200" s="3" t="s">
        <v>4</v>
      </c>
      <c r="E200" s="27" t="s">
        <v>143</v>
      </c>
      <c r="F200" s="4" t="s">
        <v>16</v>
      </c>
      <c r="G200" s="27" t="s">
        <v>105</v>
      </c>
      <c r="H200" s="32">
        <v>46185</v>
      </c>
      <c r="I200" s="32">
        <v>46217</v>
      </c>
      <c r="J200" s="12" t="s">
        <v>609</v>
      </c>
      <c r="P200" s="12" t="s">
        <v>107</v>
      </c>
    </row>
    <row r="201" spans="1:16" ht="20.25" customHeight="1">
      <c r="A201" s="3">
        <f>ROW() - ROW(CertTracker[[#Headers],[Index]])</f>
        <v>200</v>
      </c>
      <c r="B201" s="26" t="s">
        <v>610</v>
      </c>
      <c r="C201" s="4" t="s">
        <v>611</v>
      </c>
      <c r="D201" s="3" t="s">
        <v>5</v>
      </c>
      <c r="E201" s="27" t="s">
        <v>20</v>
      </c>
      <c r="F201" s="4" t="s">
        <v>20</v>
      </c>
      <c r="G201" s="27" t="s">
        <v>416</v>
      </c>
      <c r="H201" s="32">
        <v>46059</v>
      </c>
      <c r="I201" s="32">
        <v>46202</v>
      </c>
      <c r="O201" s="12" t="s">
        <v>51</v>
      </c>
      <c r="P201" s="12" t="s">
        <v>51</v>
      </c>
    </row>
    <row r="202" spans="1:16" ht="20.25" customHeight="1">
      <c r="A202" s="3">
        <f>ROW() - ROW(CertTracker[[#Headers],[Index]])</f>
        <v>201</v>
      </c>
      <c r="B202" s="26" t="s">
        <v>612</v>
      </c>
      <c r="C202" s="4" t="s">
        <v>613</v>
      </c>
      <c r="D202" s="3" t="s">
        <v>4</v>
      </c>
      <c r="E202" s="27" t="s">
        <v>261</v>
      </c>
      <c r="F202" s="4" t="s">
        <v>18</v>
      </c>
      <c r="G202" s="27" t="s">
        <v>44</v>
      </c>
      <c r="H202" s="32" t="s">
        <v>614</v>
      </c>
      <c r="I202" s="32" t="s">
        <v>606</v>
      </c>
    </row>
    <row r="203" spans="1:16" ht="20.25" customHeight="1">
      <c r="A203" s="3">
        <f>ROW() - ROW(CertTracker[[#Headers],[Index]])</f>
        <v>202</v>
      </c>
      <c r="B203" s="26" t="s">
        <v>615</v>
      </c>
      <c r="C203" s="4" t="s">
        <v>616</v>
      </c>
      <c r="D203" s="3" t="s">
        <v>5</v>
      </c>
      <c r="E203" s="45" t="s">
        <v>617</v>
      </c>
      <c r="F203" s="4" t="s">
        <v>19</v>
      </c>
      <c r="G203" s="27" t="s">
        <v>95</v>
      </c>
      <c r="H203" s="32">
        <v>46240</v>
      </c>
      <c r="I203" s="32">
        <v>46215</v>
      </c>
      <c r="O203" s="12" t="s">
        <v>618</v>
      </c>
      <c r="P203" s="12" t="s">
        <v>96</v>
      </c>
    </row>
    <row r="204" spans="1:16" ht="20.25" customHeight="1">
      <c r="A204" s="3">
        <f>ROW() - ROW(CertTracker[[#Headers],[Index]])</f>
        <v>203</v>
      </c>
      <c r="B204" s="26" t="s">
        <v>619</v>
      </c>
      <c r="C204" s="4" t="s">
        <v>620</v>
      </c>
      <c r="D204" s="3" t="s">
        <v>5</v>
      </c>
      <c r="E204" s="27" t="s">
        <v>224</v>
      </c>
      <c r="F204" s="4" t="s">
        <v>11</v>
      </c>
      <c r="G204" s="27" t="s">
        <v>420</v>
      </c>
      <c r="H204" s="32" t="s">
        <v>621</v>
      </c>
      <c r="I204" s="32">
        <v>46202</v>
      </c>
      <c r="O204" s="12" t="s">
        <v>424</v>
      </c>
      <c r="P204" s="12" t="s">
        <v>422</v>
      </c>
    </row>
    <row r="205" spans="1:16" ht="20.25" customHeight="1">
      <c r="A205" s="3">
        <f>ROW() - ROW(CertTracker[[#Headers],[Index]])</f>
        <v>204</v>
      </c>
      <c r="B205" s="26" t="s">
        <v>622</v>
      </c>
      <c r="C205" s="4" t="s">
        <v>623</v>
      </c>
      <c r="D205" s="3" t="s">
        <v>3</v>
      </c>
      <c r="E205" s="27" t="s">
        <v>261</v>
      </c>
      <c r="F205" s="4" t="s">
        <v>18</v>
      </c>
      <c r="G205" s="27" t="s">
        <v>44</v>
      </c>
      <c r="H205" s="32">
        <v>46300</v>
      </c>
      <c r="I205" s="32" t="s">
        <v>624</v>
      </c>
    </row>
    <row r="206" spans="1:16" ht="20.25" customHeight="1">
      <c r="A206" s="3">
        <f>ROW() - ROW(CertTracker[[#Headers],[Index]])</f>
        <v>205</v>
      </c>
      <c r="B206" s="26" t="s">
        <v>625</v>
      </c>
      <c r="C206" s="4" t="s">
        <v>626</v>
      </c>
      <c r="D206" s="3" t="s">
        <v>5</v>
      </c>
      <c r="E206" s="27" t="s">
        <v>617</v>
      </c>
      <c r="F206" s="4" t="s">
        <v>19</v>
      </c>
      <c r="G206" s="27" t="s">
        <v>95</v>
      </c>
      <c r="H206" s="32">
        <v>46028</v>
      </c>
      <c r="I206" s="32">
        <v>46221</v>
      </c>
      <c r="O206" s="12" t="s">
        <v>618</v>
      </c>
      <c r="P206" s="12" t="s">
        <v>96</v>
      </c>
    </row>
    <row r="207" spans="1:16" ht="20.25" customHeight="1">
      <c r="A207" s="3">
        <f>ROW() - ROW(CertTracker[[#Headers],[Index]])</f>
        <v>206</v>
      </c>
      <c r="B207" s="26" t="s">
        <v>627</v>
      </c>
      <c r="C207" s="4" t="s">
        <v>628</v>
      </c>
      <c r="D207" s="3" t="s">
        <v>5</v>
      </c>
      <c r="E207" s="27" t="s">
        <v>143</v>
      </c>
      <c r="F207" s="4" t="s">
        <v>16</v>
      </c>
      <c r="G207" s="27" t="s">
        <v>105</v>
      </c>
      <c r="H207" s="32" t="s">
        <v>629</v>
      </c>
      <c r="I207" s="32"/>
      <c r="O207" s="12" t="s">
        <v>575</v>
      </c>
      <c r="P207" s="12" t="s">
        <v>107</v>
      </c>
    </row>
    <row r="208" spans="1:16" ht="20.25" customHeight="1">
      <c r="A208" s="3">
        <f>ROW() - ROW(CertTracker[[#Headers],[Index]])</f>
        <v>207</v>
      </c>
      <c r="B208" s="26" t="s">
        <v>630</v>
      </c>
      <c r="C208" s="4" t="s">
        <v>631</v>
      </c>
      <c r="D208" s="3" t="s">
        <v>5</v>
      </c>
      <c r="E208" s="27" t="s">
        <v>104</v>
      </c>
      <c r="F208" s="4" t="s">
        <v>16</v>
      </c>
      <c r="G208" s="27" t="s">
        <v>105</v>
      </c>
      <c r="H208" s="32" t="s">
        <v>632</v>
      </c>
      <c r="I208" s="32">
        <v>46201</v>
      </c>
      <c r="O208" s="12" t="s">
        <v>633</v>
      </c>
      <c r="P208" s="12" t="s">
        <v>107</v>
      </c>
    </row>
    <row r="209" spans="1:16" ht="20.25" customHeight="1">
      <c r="A209" s="3">
        <f>ROW() - ROW(CertTracker[[#Headers],[Index]])</f>
        <v>208</v>
      </c>
      <c r="B209" s="26" t="s">
        <v>634</v>
      </c>
      <c r="C209" s="4" t="s">
        <v>635</v>
      </c>
      <c r="D209" s="3" t="s">
        <v>4</v>
      </c>
      <c r="E209" s="27" t="s">
        <v>11</v>
      </c>
      <c r="F209" s="4" t="s">
        <v>19</v>
      </c>
      <c r="G209" s="27" t="s">
        <v>95</v>
      </c>
      <c r="H209" s="32" t="s">
        <v>636</v>
      </c>
      <c r="I209" s="32" t="s">
        <v>561</v>
      </c>
      <c r="P209" s="12" t="s">
        <v>96</v>
      </c>
    </row>
    <row r="210" spans="1:16" ht="20.25" customHeight="1">
      <c r="A210" s="3">
        <f>ROW() - ROW(CertTracker[[#Headers],[Index]])</f>
        <v>209</v>
      </c>
      <c r="B210" s="26" t="s">
        <v>637</v>
      </c>
      <c r="C210" s="4" t="s">
        <v>638</v>
      </c>
      <c r="D210" s="3" t="s">
        <v>4</v>
      </c>
      <c r="E210" s="27" t="s">
        <v>143</v>
      </c>
      <c r="F210" s="4" t="s">
        <v>16</v>
      </c>
      <c r="G210" s="27" t="s">
        <v>105</v>
      </c>
      <c r="H210" s="32">
        <v>46172</v>
      </c>
      <c r="I210" s="32" t="s">
        <v>614</v>
      </c>
      <c r="J210" s="12" t="s">
        <v>639</v>
      </c>
      <c r="P210" s="12" t="s">
        <v>107</v>
      </c>
    </row>
    <row r="211" spans="1:16" ht="20.25" customHeight="1">
      <c r="A211" s="3">
        <f>ROW() - ROW(CertTracker[[#Headers],[Index]])</f>
        <v>210</v>
      </c>
      <c r="B211" s="26" t="s">
        <v>640</v>
      </c>
      <c r="C211" s="4" t="s">
        <v>641</v>
      </c>
      <c r="D211" s="3" t="s">
        <v>4</v>
      </c>
      <c r="E211" s="27" t="s">
        <v>11</v>
      </c>
      <c r="F211" s="4" t="s">
        <v>19</v>
      </c>
      <c r="G211" s="27" t="s">
        <v>95</v>
      </c>
      <c r="H211" s="32" t="s">
        <v>636</v>
      </c>
      <c r="I211" s="32"/>
      <c r="J211" s="20" t="s">
        <v>562</v>
      </c>
      <c r="P211" s="12" t="s">
        <v>96</v>
      </c>
    </row>
    <row r="212" spans="1:16" ht="20.25" customHeight="1">
      <c r="A212" s="3">
        <f>ROW() - ROW(CertTracker[[#Headers],[Index]])</f>
        <v>211</v>
      </c>
      <c r="B212" s="26" t="s">
        <v>642</v>
      </c>
      <c r="C212" s="4" t="s">
        <v>643</v>
      </c>
      <c r="D212" s="3" t="s">
        <v>5</v>
      </c>
      <c r="E212" s="27" t="s">
        <v>47</v>
      </c>
      <c r="F212" s="4" t="s">
        <v>21</v>
      </c>
      <c r="G212" s="27" t="s">
        <v>416</v>
      </c>
      <c r="H212" s="32" t="s">
        <v>614</v>
      </c>
      <c r="I212" s="32"/>
      <c r="O212" s="12" t="s">
        <v>48</v>
      </c>
      <c r="P212" s="12" t="s">
        <v>140</v>
      </c>
    </row>
    <row r="213" spans="1:16" ht="20.25" customHeight="1">
      <c r="A213" s="3">
        <f>ROW() - ROW(CertTracker[[#Headers],[Index]])</f>
        <v>212</v>
      </c>
      <c r="B213" s="26" t="s">
        <v>644</v>
      </c>
      <c r="C213" s="4" t="s">
        <v>645</v>
      </c>
      <c r="D213" s="3" t="s">
        <v>5</v>
      </c>
      <c r="E213" s="27" t="s">
        <v>19</v>
      </c>
      <c r="F213" s="4" t="s">
        <v>19</v>
      </c>
      <c r="G213" s="27" t="s">
        <v>95</v>
      </c>
      <c r="H213" s="32" t="s">
        <v>636</v>
      </c>
      <c r="I213" s="32"/>
      <c r="O213" s="12" t="s">
        <v>96</v>
      </c>
      <c r="P213" s="12" t="s">
        <v>96</v>
      </c>
    </row>
    <row r="214" spans="1:16" ht="20.25" customHeight="1">
      <c r="A214" s="3">
        <f>ROW() - ROW(CertTracker[[#Headers],[Index]])</f>
        <v>213</v>
      </c>
      <c r="B214" s="26" t="s">
        <v>646</v>
      </c>
      <c r="C214" s="4" t="s">
        <v>647</v>
      </c>
      <c r="D214" s="3" t="s">
        <v>4</v>
      </c>
      <c r="E214" s="27" t="s">
        <v>11</v>
      </c>
      <c r="F214" s="4" t="s">
        <v>20</v>
      </c>
      <c r="G214" s="27" t="s">
        <v>516</v>
      </c>
      <c r="H214" s="32" t="s">
        <v>648</v>
      </c>
      <c r="I214" s="32" t="s">
        <v>649</v>
      </c>
      <c r="P214" s="12" t="s">
        <v>51</v>
      </c>
    </row>
    <row r="215" spans="1:16" ht="20.25" customHeight="1">
      <c r="A215" s="3">
        <f>ROW() - ROW(CertTracker[[#Headers],[Index]])</f>
        <v>214</v>
      </c>
      <c r="B215" s="26" t="s">
        <v>650</v>
      </c>
      <c r="C215" s="4" t="s">
        <v>651</v>
      </c>
      <c r="D215" s="3" t="s">
        <v>5</v>
      </c>
      <c r="E215" s="27" t="s">
        <v>19</v>
      </c>
      <c r="F215" s="4" t="s">
        <v>19</v>
      </c>
      <c r="G215" s="27" t="s">
        <v>95</v>
      </c>
      <c r="H215" s="32" t="s">
        <v>652</v>
      </c>
      <c r="I215" s="32">
        <v>46201</v>
      </c>
      <c r="O215" s="12" t="s">
        <v>96</v>
      </c>
      <c r="P215" s="12" t="s">
        <v>96</v>
      </c>
    </row>
    <row r="216" spans="1:16" ht="20.25" customHeight="1">
      <c r="A216" s="3">
        <f>ROW() - ROW(CertTracker[[#Headers],[Index]])</f>
        <v>215</v>
      </c>
      <c r="B216" s="26" t="s">
        <v>653</v>
      </c>
      <c r="C216" s="4" t="s">
        <v>654</v>
      </c>
      <c r="D216" s="3" t="s">
        <v>5</v>
      </c>
      <c r="E216" s="27" t="s">
        <v>10</v>
      </c>
      <c r="F216" s="4" t="s">
        <v>21</v>
      </c>
      <c r="G216" s="27" t="s">
        <v>105</v>
      </c>
      <c r="H216" s="32" t="s">
        <v>655</v>
      </c>
      <c r="I216" s="32">
        <v>46233</v>
      </c>
      <c r="O216" s="12" t="s">
        <v>656</v>
      </c>
      <c r="P216" s="12" t="s">
        <v>140</v>
      </c>
    </row>
    <row r="217" spans="1:16" ht="20.25" customHeight="1">
      <c r="A217" s="3">
        <f>ROW() - ROW(CertTracker[[#Headers],[Index]])</f>
        <v>216</v>
      </c>
      <c r="B217" s="26" t="s">
        <v>657</v>
      </c>
      <c r="C217" s="4" t="s">
        <v>658</v>
      </c>
      <c r="D217" s="3" t="s">
        <v>4</v>
      </c>
      <c r="E217" s="27" t="s">
        <v>47</v>
      </c>
      <c r="F217" s="4" t="s">
        <v>21</v>
      </c>
      <c r="G217" s="27" t="s">
        <v>416</v>
      </c>
      <c r="H217" s="32">
        <v>46113</v>
      </c>
      <c r="I217" s="32">
        <v>46203</v>
      </c>
      <c r="P217" s="12" t="s">
        <v>140</v>
      </c>
    </row>
    <row r="218" spans="1:16" ht="20.25" customHeight="1">
      <c r="A218" s="3">
        <f>ROW() - ROW(CertTracker[[#Headers],[Index]])</f>
        <v>217</v>
      </c>
      <c r="B218" s="26" t="s">
        <v>659</v>
      </c>
      <c r="C218" s="4" t="s">
        <v>660</v>
      </c>
      <c r="D218" s="3" t="s">
        <v>4</v>
      </c>
      <c r="E218" s="27" t="s">
        <v>341</v>
      </c>
      <c r="F218" s="4" t="s">
        <v>18</v>
      </c>
      <c r="G218" s="27" t="s">
        <v>44</v>
      </c>
      <c r="H218" s="32" t="s">
        <v>661</v>
      </c>
      <c r="I218" s="32" t="s">
        <v>561</v>
      </c>
    </row>
    <row r="219" spans="1:16" ht="20.25" customHeight="1">
      <c r="A219" s="3">
        <f>ROW() - ROW(CertTracker[[#Headers],[Index]])</f>
        <v>218</v>
      </c>
      <c r="B219" s="26" t="s">
        <v>662</v>
      </c>
      <c r="C219" s="4" t="s">
        <v>663</v>
      </c>
      <c r="D219" s="3" t="s">
        <v>4</v>
      </c>
      <c r="E219" s="27" t="s">
        <v>261</v>
      </c>
      <c r="F219" s="4" t="s">
        <v>18</v>
      </c>
      <c r="G219" s="27" t="s">
        <v>44</v>
      </c>
      <c r="H219" s="32" t="s">
        <v>606</v>
      </c>
      <c r="I219" s="32">
        <v>46202</v>
      </c>
    </row>
    <row r="220" spans="1:16" ht="20.25" customHeight="1">
      <c r="A220" s="3">
        <f>ROW() - ROW(CertTracker[[#Headers],[Index]])</f>
        <v>219</v>
      </c>
      <c r="B220" s="26" t="s">
        <v>664</v>
      </c>
      <c r="C220" s="4" t="s">
        <v>665</v>
      </c>
      <c r="D220" s="3" t="s">
        <v>4</v>
      </c>
      <c r="E220" s="27" t="s">
        <v>224</v>
      </c>
      <c r="F220" s="4" t="s">
        <v>11</v>
      </c>
      <c r="G220" s="27" t="s">
        <v>420</v>
      </c>
      <c r="H220" s="32" t="s">
        <v>655</v>
      </c>
      <c r="I220" s="32" t="s">
        <v>606</v>
      </c>
      <c r="P220" s="12" t="s">
        <v>422</v>
      </c>
    </row>
    <row r="221" spans="1:16" ht="20.25" customHeight="1">
      <c r="A221" s="3">
        <f>ROW() - ROW(CertTracker[[#Headers],[Index]])</f>
        <v>220</v>
      </c>
      <c r="B221" s="26" t="s">
        <v>666</v>
      </c>
      <c r="C221" s="4" t="s">
        <v>667</v>
      </c>
      <c r="D221" s="3" t="s">
        <v>5</v>
      </c>
      <c r="E221" s="27" t="s">
        <v>224</v>
      </c>
      <c r="F221" s="4" t="s">
        <v>11</v>
      </c>
      <c r="G221" s="27" t="s">
        <v>420</v>
      </c>
      <c r="H221" s="32" t="s">
        <v>668</v>
      </c>
      <c r="I221" s="32">
        <v>46216</v>
      </c>
      <c r="O221" s="12" t="s">
        <v>424</v>
      </c>
      <c r="P221" s="12" t="s">
        <v>422</v>
      </c>
    </row>
    <row r="222" spans="1:16" ht="20.25" customHeight="1">
      <c r="A222" s="3">
        <f>ROW() - ROW(CertTracker[[#Headers],[Index]])</f>
        <v>221</v>
      </c>
      <c r="B222" s="26" t="s">
        <v>669</v>
      </c>
      <c r="C222" s="4" t="s">
        <v>670</v>
      </c>
      <c r="D222" s="3" t="s">
        <v>4</v>
      </c>
      <c r="E222" s="27" t="s">
        <v>11</v>
      </c>
      <c r="F222" s="4" t="s">
        <v>19</v>
      </c>
      <c r="G222" s="27" t="s">
        <v>95</v>
      </c>
      <c r="H222" s="32">
        <v>46271</v>
      </c>
      <c r="I222" s="32" t="s">
        <v>561</v>
      </c>
      <c r="P222" s="12" t="s">
        <v>96</v>
      </c>
    </row>
    <row r="223" spans="1:16" ht="20.25" customHeight="1">
      <c r="A223" s="3">
        <f>ROW() - ROW(CertTracker[[#Headers],[Index]])</f>
        <v>222</v>
      </c>
      <c r="B223" s="26" t="s">
        <v>671</v>
      </c>
      <c r="C223" s="4" t="s">
        <v>672</v>
      </c>
      <c r="D223" s="3" t="s">
        <v>5</v>
      </c>
      <c r="E223" s="27" t="s">
        <v>170</v>
      </c>
      <c r="F223" s="4" t="s">
        <v>20</v>
      </c>
      <c r="G223" s="27" t="s">
        <v>44</v>
      </c>
      <c r="H223" s="32">
        <v>46301</v>
      </c>
      <c r="I223" s="32"/>
      <c r="O223" s="12" t="s">
        <v>673</v>
      </c>
      <c r="P223" s="12" t="s">
        <v>51</v>
      </c>
    </row>
    <row r="224" spans="1:16" ht="20.25" customHeight="1">
      <c r="A224" s="3">
        <f>ROW() - ROW(CertTracker[[#Headers],[Index]])</f>
        <v>223</v>
      </c>
      <c r="B224" s="26" t="s">
        <v>674</v>
      </c>
      <c r="C224" s="4" t="s">
        <v>675</v>
      </c>
      <c r="D224" s="3" t="s">
        <v>4</v>
      </c>
      <c r="E224" s="27" t="s">
        <v>8</v>
      </c>
      <c r="F224" s="4" t="s">
        <v>8</v>
      </c>
      <c r="G224" s="27" t="s">
        <v>88</v>
      </c>
      <c r="H224" s="32" t="s">
        <v>256</v>
      </c>
      <c r="I224" s="32"/>
      <c r="P224" s="12" t="s">
        <v>90</v>
      </c>
    </row>
    <row r="225" spans="1:16" ht="20.25" customHeight="1">
      <c r="A225" s="3">
        <f>ROW() - ROW(CertTracker[[#Headers],[Index]])</f>
        <v>224</v>
      </c>
      <c r="B225" s="26" t="s">
        <v>676</v>
      </c>
      <c r="C225" s="4" t="s">
        <v>677</v>
      </c>
      <c r="D225" s="3" t="s">
        <v>4</v>
      </c>
      <c r="E225" s="27" t="s">
        <v>452</v>
      </c>
      <c r="F225" s="4" t="s">
        <v>19</v>
      </c>
      <c r="G225" s="27" t="s">
        <v>95</v>
      </c>
      <c r="H225" s="32" t="s">
        <v>678</v>
      </c>
      <c r="I225" s="32" t="s">
        <v>679</v>
      </c>
      <c r="P225" s="12" t="s">
        <v>96</v>
      </c>
    </row>
    <row r="226" spans="1:16" ht="20.25" customHeight="1">
      <c r="A226" s="3">
        <f>ROW() - ROW(CertTracker[[#Headers],[Index]])</f>
        <v>225</v>
      </c>
      <c r="B226" s="26" t="s">
        <v>680</v>
      </c>
      <c r="C226" s="4" t="s">
        <v>681</v>
      </c>
      <c r="D226" s="3" t="s">
        <v>4</v>
      </c>
      <c r="E226" s="27" t="s">
        <v>682</v>
      </c>
      <c r="F226" s="4" t="s">
        <v>19</v>
      </c>
      <c r="G226" s="27" t="s">
        <v>44</v>
      </c>
      <c r="H226" s="32" t="s">
        <v>683</v>
      </c>
      <c r="I226" s="32" t="s">
        <v>585</v>
      </c>
      <c r="J226" s="20" t="s">
        <v>684</v>
      </c>
      <c r="P226" s="12" t="s">
        <v>96</v>
      </c>
    </row>
    <row r="227" spans="1:16" ht="20.25" customHeight="1">
      <c r="A227" s="3">
        <f>ROW() - ROW(CertTracker[[#Headers],[Index]])</f>
        <v>226</v>
      </c>
      <c r="B227" s="26" t="s">
        <v>685</v>
      </c>
      <c r="C227" s="4" t="s">
        <v>686</v>
      </c>
      <c r="D227" s="3" t="s">
        <v>4</v>
      </c>
      <c r="E227" s="27" t="s">
        <v>8</v>
      </c>
      <c r="F227" s="4" t="s">
        <v>8</v>
      </c>
      <c r="G227" s="27" t="s">
        <v>687</v>
      </c>
      <c r="H227" s="32" t="s">
        <v>256</v>
      </c>
      <c r="I227" s="32"/>
      <c r="P227" s="12" t="s">
        <v>90</v>
      </c>
    </row>
    <row r="228" spans="1:16" ht="20.25" customHeight="1">
      <c r="A228" s="3">
        <f>ROW() - ROW(CertTracker[[#Headers],[Index]])</f>
        <v>227</v>
      </c>
      <c r="B228" s="26" t="s">
        <v>688</v>
      </c>
      <c r="C228" s="4" t="s">
        <v>689</v>
      </c>
      <c r="D228" s="3" t="s">
        <v>4</v>
      </c>
      <c r="E228" s="27" t="s">
        <v>79</v>
      </c>
      <c r="F228" s="4" t="s">
        <v>20</v>
      </c>
      <c r="G228" s="27" t="s">
        <v>516</v>
      </c>
      <c r="H228" s="32" t="s">
        <v>636</v>
      </c>
      <c r="I228" s="32" t="s">
        <v>679</v>
      </c>
      <c r="P228" s="12" t="s">
        <v>51</v>
      </c>
    </row>
    <row r="229" spans="1:16" ht="20.25" customHeight="1">
      <c r="A229" s="3">
        <f>ROW() - ROW(CertTracker[[#Headers],[Index]])</f>
        <v>228</v>
      </c>
      <c r="B229" s="26" t="s">
        <v>690</v>
      </c>
      <c r="C229" s="4" t="s">
        <v>691</v>
      </c>
      <c r="D229" s="3" t="s">
        <v>4</v>
      </c>
      <c r="E229" s="27" t="s">
        <v>261</v>
      </c>
      <c r="F229" s="4" t="s">
        <v>18</v>
      </c>
      <c r="G229" s="27" t="s">
        <v>44</v>
      </c>
      <c r="H229" s="32">
        <v>46028</v>
      </c>
      <c r="I229" s="32" t="s">
        <v>585</v>
      </c>
    </row>
    <row r="230" spans="1:16" ht="20.25" customHeight="1">
      <c r="A230" s="3">
        <f>ROW() - ROW(CertTracker[[#Headers],[Index]])</f>
        <v>229</v>
      </c>
      <c r="B230" s="26" t="s">
        <v>692</v>
      </c>
      <c r="C230" s="4" t="s">
        <v>693</v>
      </c>
      <c r="D230" s="3" t="s">
        <v>5</v>
      </c>
      <c r="E230" s="27" t="s">
        <v>224</v>
      </c>
      <c r="F230" s="4" t="s">
        <v>20</v>
      </c>
      <c r="G230" s="27" t="s">
        <v>694</v>
      </c>
      <c r="H230" s="32" t="s">
        <v>561</v>
      </c>
      <c r="I230" s="32"/>
      <c r="O230" s="12" t="s">
        <v>424</v>
      </c>
      <c r="P230" s="12" t="s">
        <v>51</v>
      </c>
    </row>
    <row r="231" spans="1:16" ht="20.25" customHeight="1">
      <c r="A231" s="3">
        <f>ROW() - ROW(CertTracker[[#Headers],[Index]])</f>
        <v>230</v>
      </c>
      <c r="B231" s="26" t="s">
        <v>695</v>
      </c>
      <c r="C231" s="4" t="s">
        <v>696</v>
      </c>
      <c r="D231" s="3" t="s">
        <v>4</v>
      </c>
      <c r="E231" s="27" t="s">
        <v>8</v>
      </c>
      <c r="F231" s="4" t="s">
        <v>8</v>
      </c>
      <c r="G231" s="27" t="s">
        <v>687</v>
      </c>
      <c r="H231" s="32" t="s">
        <v>256</v>
      </c>
      <c r="I231" s="32" t="s">
        <v>679</v>
      </c>
      <c r="P231" s="12" t="s">
        <v>90</v>
      </c>
    </row>
    <row r="232" spans="1:16" ht="20.25" customHeight="1">
      <c r="A232" s="3">
        <f>ROW() - ROW(CertTracker[[#Headers],[Index]])</f>
        <v>231</v>
      </c>
      <c r="B232" s="26" t="s">
        <v>697</v>
      </c>
      <c r="C232" s="4" t="s">
        <v>698</v>
      </c>
      <c r="D232" s="3" t="s">
        <v>3</v>
      </c>
      <c r="E232" s="27" t="s">
        <v>210</v>
      </c>
      <c r="F232" s="4" t="s">
        <v>8</v>
      </c>
      <c r="G232" s="27" t="s">
        <v>105</v>
      </c>
      <c r="H232" s="32" t="s">
        <v>621</v>
      </c>
      <c r="I232" s="32"/>
      <c r="P232" s="12" t="s">
        <v>90</v>
      </c>
    </row>
    <row r="233" spans="1:16" ht="20.25" customHeight="1">
      <c r="A233" s="3">
        <f>ROW() - ROW(CertTracker[[#Headers],[Index]])</f>
        <v>232</v>
      </c>
      <c r="B233" s="26" t="s">
        <v>699</v>
      </c>
      <c r="C233" s="4" t="s">
        <v>700</v>
      </c>
      <c r="D233" s="3" t="s">
        <v>4</v>
      </c>
      <c r="E233" s="27" t="s">
        <v>143</v>
      </c>
      <c r="F233" s="4" t="s">
        <v>16</v>
      </c>
      <c r="G233" s="27" t="s">
        <v>105</v>
      </c>
      <c r="H233" s="32">
        <v>46028</v>
      </c>
      <c r="I233" s="32">
        <v>46197</v>
      </c>
      <c r="J233" s="12" t="s">
        <v>701</v>
      </c>
      <c r="P233" s="12" t="s">
        <v>107</v>
      </c>
    </row>
    <row r="234" spans="1:16" ht="20.25" customHeight="1">
      <c r="A234" s="3">
        <f>ROW() - ROW(CertTracker[[#Headers],[Index]])</f>
        <v>233</v>
      </c>
      <c r="B234" s="26" t="s">
        <v>702</v>
      </c>
      <c r="C234" s="4" t="s">
        <v>703</v>
      </c>
      <c r="D234" s="3" t="s">
        <v>4</v>
      </c>
      <c r="E234" s="27" t="s">
        <v>143</v>
      </c>
      <c r="F234" s="4" t="s">
        <v>16</v>
      </c>
      <c r="G234" s="27" t="s">
        <v>105</v>
      </c>
      <c r="H234" s="32">
        <v>46028</v>
      </c>
      <c r="I234" s="32"/>
      <c r="J234" s="20" t="s">
        <v>704</v>
      </c>
      <c r="P234" s="12" t="s">
        <v>107</v>
      </c>
    </row>
    <row r="235" spans="1:16" ht="20.25" customHeight="1">
      <c r="A235" s="3">
        <f>ROW() - ROW(CertTracker[[#Headers],[Index]])</f>
        <v>234</v>
      </c>
      <c r="B235" s="26" t="s">
        <v>705</v>
      </c>
      <c r="C235" s="4" t="s">
        <v>706</v>
      </c>
      <c r="D235" s="3" t="s">
        <v>4</v>
      </c>
      <c r="E235" s="27" t="s">
        <v>10</v>
      </c>
      <c r="F235" s="4" t="s">
        <v>10</v>
      </c>
      <c r="G235" s="27" t="s">
        <v>105</v>
      </c>
      <c r="H235" s="32">
        <v>46028</v>
      </c>
      <c r="I235" s="32" t="s">
        <v>636</v>
      </c>
      <c r="J235" s="19" t="s">
        <v>707</v>
      </c>
    </row>
    <row r="236" spans="1:16" ht="20.25" customHeight="1">
      <c r="A236" s="3">
        <f>ROW() - ROW(CertTracker[[#Headers],[Index]])</f>
        <v>235</v>
      </c>
      <c r="B236" s="26" t="s">
        <v>708</v>
      </c>
      <c r="C236" s="4" t="s">
        <v>709</v>
      </c>
      <c r="D236" s="3" t="s">
        <v>4</v>
      </c>
      <c r="E236" s="27" t="s">
        <v>194</v>
      </c>
      <c r="F236" s="4" t="s">
        <v>18</v>
      </c>
      <c r="G236" s="27" t="s">
        <v>44</v>
      </c>
      <c r="H236" s="32" t="s">
        <v>606</v>
      </c>
      <c r="I236" s="32" t="s">
        <v>585</v>
      </c>
      <c r="J236" s="12" t="s">
        <v>710</v>
      </c>
      <c r="K236" s="32">
        <v>46230</v>
      </c>
    </row>
    <row r="237" spans="1:16" ht="20.25" customHeight="1">
      <c r="A237" s="3">
        <f>ROW() - ROW(CertTracker[[#Headers],[Index]])</f>
        <v>236</v>
      </c>
      <c r="B237" s="26" t="s">
        <v>711</v>
      </c>
      <c r="C237" s="4" t="s">
        <v>712</v>
      </c>
      <c r="D237" s="3" t="s">
        <v>4</v>
      </c>
      <c r="E237" s="27" t="s">
        <v>261</v>
      </c>
      <c r="F237" s="4" t="s">
        <v>18</v>
      </c>
      <c r="G237" s="27" t="s">
        <v>44</v>
      </c>
      <c r="H237" s="32" t="s">
        <v>571</v>
      </c>
      <c r="I237" s="32" t="s">
        <v>649</v>
      </c>
      <c r="J237" s="12" t="s">
        <v>713</v>
      </c>
      <c r="K237" s="32">
        <v>46221</v>
      </c>
    </row>
    <row r="238" spans="1:16" ht="20.25" customHeight="1">
      <c r="A238" s="3">
        <f>ROW() - ROW(CertTracker[[#Headers],[Index]])</f>
        <v>237</v>
      </c>
      <c r="B238" s="26" t="s">
        <v>484</v>
      </c>
      <c r="C238" s="4" t="s">
        <v>485</v>
      </c>
      <c r="D238" s="3" t="s">
        <v>4</v>
      </c>
      <c r="E238" s="27" t="s">
        <v>194</v>
      </c>
      <c r="F238" s="4" t="s">
        <v>18</v>
      </c>
      <c r="G238" s="27" t="s">
        <v>44</v>
      </c>
      <c r="H238" s="32" t="s">
        <v>591</v>
      </c>
      <c r="I238" s="32" t="s">
        <v>694</v>
      </c>
    </row>
    <row r="239" spans="1:16" ht="20.25" customHeight="1">
      <c r="A239" s="3">
        <f>ROW() - ROW(CertTracker[[#Headers],[Index]])</f>
        <v>238</v>
      </c>
      <c r="B239" s="26" t="s">
        <v>714</v>
      </c>
      <c r="C239" s="4" t="s">
        <v>715</v>
      </c>
      <c r="D239" s="3" t="s">
        <v>5</v>
      </c>
      <c r="E239" s="27" t="s">
        <v>143</v>
      </c>
      <c r="F239" s="4" t="s">
        <v>16</v>
      </c>
      <c r="G239" s="27" t="s">
        <v>105</v>
      </c>
      <c r="H239" s="32" t="s">
        <v>652</v>
      </c>
      <c r="I239" s="32">
        <v>46203</v>
      </c>
      <c r="O239" s="12" t="s">
        <v>575</v>
      </c>
      <c r="P239" s="12" t="s">
        <v>107</v>
      </c>
    </row>
    <row r="240" spans="1:16" ht="20.25" customHeight="1">
      <c r="A240" s="3">
        <f>ROW() - ROW(CertTracker[[#Headers],[Index]])</f>
        <v>239</v>
      </c>
      <c r="B240" s="26" t="s">
        <v>716</v>
      </c>
      <c r="C240" s="4" t="s">
        <v>717</v>
      </c>
      <c r="D240" s="3" t="s">
        <v>4</v>
      </c>
      <c r="E240" s="27" t="s">
        <v>718</v>
      </c>
      <c r="F240" s="4" t="s">
        <v>19</v>
      </c>
      <c r="G240" s="27" t="s">
        <v>95</v>
      </c>
      <c r="H240" s="32" t="s">
        <v>694</v>
      </c>
      <c r="I240" s="32">
        <v>46214</v>
      </c>
      <c r="P240" s="12" t="s">
        <v>96</v>
      </c>
    </row>
    <row r="241" spans="1:16" ht="20.25" customHeight="1">
      <c r="A241" s="3">
        <f>ROW() - ROW(CertTracker[[#Headers],[Index]])</f>
        <v>240</v>
      </c>
      <c r="B241" s="26" t="s">
        <v>719</v>
      </c>
      <c r="C241" s="4" t="s">
        <v>720</v>
      </c>
      <c r="D241" s="3" t="s">
        <v>4</v>
      </c>
      <c r="E241" s="27" t="s">
        <v>194</v>
      </c>
      <c r="F241" s="4" t="s">
        <v>18</v>
      </c>
      <c r="G241" s="27" t="s">
        <v>44</v>
      </c>
      <c r="H241" s="32" t="s">
        <v>570</v>
      </c>
      <c r="I241" s="32" t="s">
        <v>721</v>
      </c>
    </row>
    <row r="242" spans="1:16" ht="20.25" customHeight="1">
      <c r="A242" s="3">
        <f>ROW() - ROW(CertTracker[[#Headers],[Index]])</f>
        <v>241</v>
      </c>
      <c r="B242" s="26" t="s">
        <v>722</v>
      </c>
      <c r="C242" s="4" t="s">
        <v>723</v>
      </c>
      <c r="D242" s="10" t="s">
        <v>4</v>
      </c>
      <c r="E242" s="27" t="s">
        <v>261</v>
      </c>
      <c r="F242" s="4" t="s">
        <v>18</v>
      </c>
      <c r="G242" s="27"/>
      <c r="H242" s="32"/>
      <c r="I242" s="32"/>
    </row>
    <row r="243" spans="1:16" ht="20.25" customHeight="1">
      <c r="A243" s="3">
        <f>ROW() - ROW(CertTracker[[#Headers],[Index]])</f>
        <v>242</v>
      </c>
      <c r="B243" s="26" t="s">
        <v>724</v>
      </c>
      <c r="C243" s="4" t="s">
        <v>725</v>
      </c>
      <c r="D243" s="3" t="s">
        <v>4</v>
      </c>
      <c r="E243" s="27" t="s">
        <v>179</v>
      </c>
      <c r="F243" s="4" t="s">
        <v>20</v>
      </c>
      <c r="G243" s="27" t="s">
        <v>416</v>
      </c>
      <c r="H243" s="32" t="s">
        <v>726</v>
      </c>
      <c r="I243" s="32" t="s">
        <v>679</v>
      </c>
      <c r="P243" s="12" t="s">
        <v>51</v>
      </c>
    </row>
    <row r="244" spans="1:16" ht="20.25" customHeight="1">
      <c r="A244" s="3">
        <f>ROW() - ROW(CertTracker[[#Headers],[Index]])</f>
        <v>243</v>
      </c>
      <c r="B244" s="26" t="s">
        <v>727</v>
      </c>
      <c r="C244" s="4" t="s">
        <v>728</v>
      </c>
      <c r="D244" s="3" t="s">
        <v>5</v>
      </c>
      <c r="E244" s="27" t="s">
        <v>729</v>
      </c>
      <c r="F244" s="4" t="s">
        <v>8</v>
      </c>
      <c r="G244" s="27" t="s">
        <v>88</v>
      </c>
      <c r="H244" s="32"/>
      <c r="I244" s="32"/>
      <c r="O244" s="12" t="s">
        <v>211</v>
      </c>
      <c r="P244" s="12" t="s">
        <v>90</v>
      </c>
    </row>
    <row r="245" spans="1:16" ht="20.25" customHeight="1">
      <c r="A245" s="3">
        <f>ROW() - ROW(CertTracker[[#Headers],[Index]])</f>
        <v>244</v>
      </c>
      <c r="B245" s="26" t="s">
        <v>730</v>
      </c>
      <c r="C245" s="4" t="s">
        <v>731</v>
      </c>
      <c r="D245" s="3" t="s">
        <v>4</v>
      </c>
      <c r="E245" s="27" t="s">
        <v>26</v>
      </c>
      <c r="F245" s="4" t="s">
        <v>24</v>
      </c>
      <c r="G245" s="27"/>
      <c r="H245" s="32"/>
      <c r="I245" s="32"/>
    </row>
    <row r="246" spans="1:16" ht="20.25" customHeight="1">
      <c r="A246" s="3">
        <f>ROW() - ROW(CertTracker[[#Headers],[Index]])</f>
        <v>245</v>
      </c>
      <c r="B246" s="26" t="s">
        <v>732</v>
      </c>
      <c r="C246" s="4" t="s">
        <v>733</v>
      </c>
      <c r="D246" s="3" t="s">
        <v>4</v>
      </c>
      <c r="E246" s="27" t="s">
        <v>15</v>
      </c>
      <c r="F246" s="4" t="s">
        <v>15</v>
      </c>
      <c r="G246" s="27" t="s">
        <v>119</v>
      </c>
      <c r="H246" s="32"/>
      <c r="I246" s="32"/>
      <c r="P246" s="12" t="s">
        <v>121</v>
      </c>
    </row>
    <row r="247" spans="1:16" ht="20.25" customHeight="1">
      <c r="A247" s="3">
        <f>ROW() - ROW(CertTracker[[#Headers],[Index]])</f>
        <v>246</v>
      </c>
      <c r="B247" s="26" t="s">
        <v>734</v>
      </c>
      <c r="C247" s="4" t="s">
        <v>735</v>
      </c>
      <c r="D247" s="3" t="s">
        <v>4</v>
      </c>
      <c r="E247" s="27" t="s">
        <v>194</v>
      </c>
      <c r="F247" s="4" t="s">
        <v>18</v>
      </c>
      <c r="G247" s="27" t="s">
        <v>44</v>
      </c>
      <c r="H247" s="32"/>
      <c r="I247" s="32"/>
    </row>
    <row r="248" spans="1:16" ht="20.25" customHeight="1">
      <c r="A248" s="3">
        <f>ROW() - ROW(CertTracker[[#Headers],[Index]])</f>
        <v>247</v>
      </c>
      <c r="B248" s="26" t="s">
        <v>736</v>
      </c>
      <c r="C248" s="4" t="s">
        <v>737</v>
      </c>
      <c r="D248" s="3" t="s">
        <v>4</v>
      </c>
      <c r="E248" s="27" t="s">
        <v>43</v>
      </c>
      <c r="F248" s="4" t="s">
        <v>12</v>
      </c>
      <c r="G248" s="27" t="s">
        <v>44</v>
      </c>
      <c r="H248" s="32"/>
      <c r="I248" s="32"/>
      <c r="P248" s="12" t="s">
        <v>46</v>
      </c>
    </row>
    <row r="249" spans="1:16" ht="20.25" customHeight="1">
      <c r="A249" s="3">
        <f>ROW() - ROW(CertTracker[[#Headers],[Index]])</f>
        <v>248</v>
      </c>
      <c r="B249" s="26" t="s">
        <v>738</v>
      </c>
      <c r="C249" s="4" t="s">
        <v>739</v>
      </c>
      <c r="D249" s="3" t="s">
        <v>4</v>
      </c>
      <c r="E249" s="27" t="s">
        <v>11</v>
      </c>
      <c r="F249" s="4" t="s">
        <v>25</v>
      </c>
      <c r="G249" s="27"/>
      <c r="H249" s="32"/>
      <c r="I249" s="32"/>
    </row>
    <row r="250" spans="1:16" ht="20.25" customHeight="1">
      <c r="A250" s="3">
        <f>ROW() - ROW(CertTracker[[#Headers],[Index]])</f>
        <v>249</v>
      </c>
      <c r="B250" s="26" t="s">
        <v>740</v>
      </c>
      <c r="C250" s="4" t="s">
        <v>741</v>
      </c>
      <c r="D250" s="3" t="s">
        <v>4</v>
      </c>
      <c r="E250" s="45" t="s">
        <v>617</v>
      </c>
      <c r="F250" s="4" t="s">
        <v>19</v>
      </c>
      <c r="G250" s="27"/>
      <c r="H250" s="32"/>
      <c r="I250" s="32"/>
      <c r="P250" s="12" t="s">
        <v>96</v>
      </c>
    </row>
    <row r="251" spans="1:16" ht="20.25" customHeight="1">
      <c r="A251" s="3">
        <f>ROW() - ROW(CertTracker[[#Headers],[Index]])</f>
        <v>250</v>
      </c>
      <c r="B251" s="26" t="s">
        <v>742</v>
      </c>
      <c r="C251" s="4" t="s">
        <v>743</v>
      </c>
      <c r="D251" s="10" t="s">
        <v>4</v>
      </c>
      <c r="E251" s="27" t="s">
        <v>261</v>
      </c>
      <c r="F251" s="4" t="s">
        <v>18</v>
      </c>
      <c r="G251" s="27" t="s">
        <v>44</v>
      </c>
      <c r="H251" s="32"/>
      <c r="I251" s="32"/>
    </row>
    <row r="252" spans="1:16" ht="20.25" customHeight="1">
      <c r="A252" s="3">
        <f>ROW() - ROW(CertTracker[[#Headers],[Index]])</f>
        <v>251</v>
      </c>
      <c r="B252" s="26" t="s">
        <v>744</v>
      </c>
      <c r="C252" s="4" t="s">
        <v>745</v>
      </c>
      <c r="D252" s="10" t="s">
        <v>4</v>
      </c>
      <c r="E252" s="27" t="s">
        <v>57</v>
      </c>
      <c r="F252" s="4" t="s">
        <v>23</v>
      </c>
      <c r="G252" s="27" t="s">
        <v>416</v>
      </c>
      <c r="H252" s="32"/>
      <c r="I252" s="32"/>
      <c r="J252" s="20" t="s">
        <v>746</v>
      </c>
    </row>
    <row r="253" spans="1:16" ht="20.25" customHeight="1">
      <c r="A253" s="3">
        <f>ROW() - ROW(CertTracker[[#Headers],[Index]])</f>
        <v>252</v>
      </c>
      <c r="B253" s="26" t="s">
        <v>747</v>
      </c>
      <c r="C253" s="4" t="s">
        <v>332</v>
      </c>
      <c r="D253" s="10" t="s">
        <v>4</v>
      </c>
      <c r="E253" s="27" t="s">
        <v>11</v>
      </c>
      <c r="F253" s="4" t="s">
        <v>25</v>
      </c>
      <c r="G253" s="27" t="s">
        <v>416</v>
      </c>
      <c r="H253" s="32">
        <v>46186</v>
      </c>
      <c r="I253" s="32">
        <v>46200</v>
      </c>
      <c r="J253" s="20" t="s">
        <v>748</v>
      </c>
    </row>
    <row r="254" spans="1:16" ht="20.25" customHeight="1">
      <c r="A254" s="3">
        <f>ROW() - ROW(CertTracker[[#Headers],[Index]])</f>
        <v>253</v>
      </c>
      <c r="B254" s="26" t="s">
        <v>749</v>
      </c>
      <c r="C254" s="4" t="s">
        <v>750</v>
      </c>
      <c r="D254" s="3" t="s">
        <v>4</v>
      </c>
      <c r="E254" s="27" t="s">
        <v>261</v>
      </c>
      <c r="F254" s="4" t="s">
        <v>18</v>
      </c>
      <c r="G254" s="27" t="s">
        <v>44</v>
      </c>
      <c r="H254" s="32"/>
      <c r="I254" s="32"/>
      <c r="J254" s="20" t="s">
        <v>751</v>
      </c>
    </row>
    <row r="255" spans="1:16" ht="20.25" customHeight="1">
      <c r="A255" s="3">
        <f>ROW() - ROW(CertTracker[[#Headers],[Index]])</f>
        <v>254</v>
      </c>
      <c r="B255" s="26" t="s">
        <v>752</v>
      </c>
      <c r="C255" s="4" t="s">
        <v>753</v>
      </c>
      <c r="D255" s="3" t="s">
        <v>4</v>
      </c>
      <c r="E255" s="27" t="s">
        <v>754</v>
      </c>
      <c r="F255" s="4" t="s">
        <v>15</v>
      </c>
      <c r="G255" s="27" t="s">
        <v>119</v>
      </c>
      <c r="H255" s="32"/>
      <c r="I255" s="32"/>
      <c r="P255" s="12" t="s">
        <v>121</v>
      </c>
    </row>
    <row r="256" spans="1:16" ht="20.25" customHeight="1">
      <c r="A256" s="3">
        <f>ROW() - ROW(CertTracker[[#Headers],[Index]])</f>
        <v>255</v>
      </c>
      <c r="B256" s="26" t="s">
        <v>755</v>
      </c>
      <c r="C256" s="4" t="s">
        <v>756</v>
      </c>
      <c r="D256" s="10" t="s">
        <v>4</v>
      </c>
      <c r="E256" s="27" t="s">
        <v>10</v>
      </c>
      <c r="F256" s="4" t="s">
        <v>10</v>
      </c>
      <c r="G256" s="27" t="s">
        <v>105</v>
      </c>
      <c r="H256" s="32"/>
      <c r="I256" s="32">
        <v>46213</v>
      </c>
      <c r="J256" s="19" t="s">
        <v>757</v>
      </c>
    </row>
    <row r="257" spans="1:16" ht="20.25" customHeight="1">
      <c r="A257" s="3">
        <f>ROW() - ROW(CertTracker[[#Headers],[Index]])</f>
        <v>256</v>
      </c>
      <c r="B257" s="26" t="s">
        <v>395</v>
      </c>
      <c r="C257" s="4" t="s">
        <v>758</v>
      </c>
      <c r="D257" s="10" t="s">
        <v>4</v>
      </c>
      <c r="E257" s="27" t="s">
        <v>17</v>
      </c>
      <c r="F257" s="4" t="s">
        <v>17</v>
      </c>
      <c r="G257" s="27" t="s">
        <v>105</v>
      </c>
      <c r="H257" s="32"/>
      <c r="I257" s="32"/>
      <c r="P257" s="12" t="s">
        <v>601</v>
      </c>
    </row>
    <row r="258" spans="1:16" ht="20.25" customHeight="1">
      <c r="A258" s="3">
        <f>ROW() - ROW(CertTracker[[#Headers],[Index]])</f>
        <v>257</v>
      </c>
      <c r="B258" s="26" t="s">
        <v>759</v>
      </c>
      <c r="C258" s="25" t="s">
        <v>760</v>
      </c>
      <c r="D258" s="12" t="s">
        <v>4</v>
      </c>
      <c r="E258" s="27" t="s">
        <v>718</v>
      </c>
      <c r="F258" s="4" t="s">
        <v>19</v>
      </c>
      <c r="G258" s="27" t="s">
        <v>44</v>
      </c>
      <c r="H258" s="32">
        <v>46211</v>
      </c>
      <c r="I258" s="32">
        <v>46217</v>
      </c>
      <c r="J258" s="12" t="s">
        <v>761</v>
      </c>
      <c r="P258" s="12" t="s">
        <v>96</v>
      </c>
    </row>
    <row r="259" spans="1:16" ht="15">
      <c r="A259" s="3">
        <f>ROW() - ROW(CertTracker[[#Headers],[Index]])</f>
        <v>258</v>
      </c>
      <c r="B259" s="21" t="s">
        <v>762</v>
      </c>
      <c r="C259" t="s">
        <v>763</v>
      </c>
      <c r="D259" s="12" t="s">
        <v>4</v>
      </c>
      <c r="E259" s="27" t="s">
        <v>26</v>
      </c>
      <c r="F259" s="27" t="s">
        <v>26</v>
      </c>
      <c r="G259" s="36" t="s">
        <v>44</v>
      </c>
      <c r="H259" s="32"/>
      <c r="I259" s="32">
        <v>46220</v>
      </c>
      <c r="J259" s="12" t="s">
        <v>764</v>
      </c>
    </row>
    <row r="260" spans="1:16" ht="16.899999999999999">
      <c r="A260" s="12">
        <f>ROW() - ROW(CertTracker[[#Headers],[Index]])</f>
        <v>259</v>
      </c>
      <c r="B260" t="s">
        <v>765</v>
      </c>
      <c r="C260" t="s">
        <v>766</v>
      </c>
      <c r="D260" s="12" t="s">
        <v>4</v>
      </c>
      <c r="E260" s="37" t="s">
        <v>194</v>
      </c>
      <c r="F260" s="37" t="s">
        <v>14</v>
      </c>
      <c r="G260" s="36" t="s">
        <v>44</v>
      </c>
      <c r="H260" s="32"/>
      <c r="I260" s="32">
        <v>46221</v>
      </c>
      <c r="P260" s="12" t="s">
        <v>76</v>
      </c>
    </row>
    <row r="261" spans="1:16" ht="16.899999999999999">
      <c r="A261" s="12">
        <f>ROW() - ROW(CertTracker[[#Headers],[Index]])</f>
        <v>260</v>
      </c>
      <c r="B261" s="21" t="s">
        <v>767</v>
      </c>
      <c r="C261" t="s">
        <v>768</v>
      </c>
      <c r="D261" s="10" t="s">
        <v>5</v>
      </c>
      <c r="E261" s="4" t="s">
        <v>19</v>
      </c>
      <c r="F261" s="37" t="s">
        <v>14</v>
      </c>
      <c r="G261" s="36" t="s">
        <v>95</v>
      </c>
      <c r="H261" s="32"/>
      <c r="I261" s="32"/>
      <c r="O261" s="12" t="s">
        <v>96</v>
      </c>
      <c r="P261" s="12" t="s">
        <v>76</v>
      </c>
    </row>
    <row r="262" spans="1:16" ht="15">
      <c r="A262" s="12">
        <f>ROW() - ROW(CertTracker[[#Headers],[Index]])</f>
        <v>261</v>
      </c>
      <c r="B262" s="21" t="s">
        <v>769</v>
      </c>
      <c r="C262" t="s">
        <v>770</v>
      </c>
      <c r="D262" s="12" t="s">
        <v>4</v>
      </c>
      <c r="E262" s="36" t="s">
        <v>15</v>
      </c>
      <c r="F262" s="28" t="s">
        <v>26</v>
      </c>
      <c r="G262" s="36" t="s">
        <v>119</v>
      </c>
      <c r="H262" s="32"/>
      <c r="I262" s="32"/>
    </row>
    <row r="263" spans="1:16" ht="15">
      <c r="A263" s="12">
        <f>ROW() - ROW(CertTracker[[#Headers],[Index]])</f>
        <v>262</v>
      </c>
      <c r="B263" s="21" t="s">
        <v>501</v>
      </c>
      <c r="C263" t="s">
        <v>502</v>
      </c>
      <c r="D263" s="12" t="s">
        <v>4</v>
      </c>
      <c r="E263" s="36" t="s">
        <v>9</v>
      </c>
      <c r="F263" s="28" t="s">
        <v>21</v>
      </c>
      <c r="G263" s="46" t="s">
        <v>416</v>
      </c>
      <c r="H263" s="32"/>
      <c r="I263" s="32">
        <v>46224</v>
      </c>
      <c r="P263" s="12" t="s">
        <v>140</v>
      </c>
    </row>
    <row r="264" spans="1:16" ht="15">
      <c r="A264" s="12">
        <f>ROW() - ROW(CertTracker[[#Headers],[Index]])</f>
        <v>263</v>
      </c>
      <c r="B264" s="21" t="s">
        <v>771</v>
      </c>
      <c r="C264" t="s">
        <v>772</v>
      </c>
      <c r="D264" s="12" t="s">
        <v>4</v>
      </c>
      <c r="E264" s="36" t="s">
        <v>718</v>
      </c>
      <c r="F264" s="28" t="s">
        <v>19</v>
      </c>
      <c r="G264" s="36" t="s">
        <v>44</v>
      </c>
      <c r="H264" s="32"/>
      <c r="I264" s="32"/>
      <c r="P264" s="12" t="s">
        <v>96</v>
      </c>
    </row>
    <row r="265" spans="1:16" ht="15">
      <c r="A265" s="3">
        <f>ROW() - ROW(CertTracker[[#Headers],[Index]])</f>
        <v>264</v>
      </c>
      <c r="B265" s="21" t="s">
        <v>773</v>
      </c>
      <c r="C265" t="s">
        <v>774</v>
      </c>
      <c r="D265" s="12" t="s">
        <v>4</v>
      </c>
      <c r="E265" s="27" t="s">
        <v>26</v>
      </c>
      <c r="F265" s="27" t="s">
        <v>26</v>
      </c>
      <c r="G265" s="36" t="s">
        <v>44</v>
      </c>
      <c r="H265" s="32"/>
      <c r="I265" s="32"/>
      <c r="J265" t="s">
        <v>775</v>
      </c>
    </row>
    <row r="266" spans="1:16" ht="15">
      <c r="A266" s="12">
        <f>ROW() - ROW(CertTracker[[#Headers],[Index]])</f>
        <v>265</v>
      </c>
      <c r="B266" s="21" t="s">
        <v>776</v>
      </c>
      <c r="C266" s="47" t="s">
        <v>777</v>
      </c>
      <c r="D266" s="12" t="s">
        <v>4</v>
      </c>
      <c r="E266" s="36" t="s">
        <v>170</v>
      </c>
      <c r="F266" s="28" t="s">
        <v>18</v>
      </c>
      <c r="G266" s="36" t="s">
        <v>44</v>
      </c>
      <c r="H266" s="32"/>
      <c r="I266" s="32">
        <v>46228</v>
      </c>
    </row>
    <row r="267" spans="1:16" ht="15">
      <c r="A267" s="12">
        <f>ROW() - ROW(CertTracker[[#Headers],[Index]])</f>
        <v>266</v>
      </c>
      <c r="B267" s="21" t="s">
        <v>778</v>
      </c>
      <c r="C267" s="47" t="s">
        <v>779</v>
      </c>
      <c r="D267" s="12" t="s">
        <v>4</v>
      </c>
      <c r="E267" s="36" t="s">
        <v>718</v>
      </c>
      <c r="F267" s="28" t="s">
        <v>19</v>
      </c>
      <c r="G267" s="36" t="s">
        <v>44</v>
      </c>
      <c r="H267" s="32"/>
      <c r="I267" s="32"/>
      <c r="P267" s="12" t="s">
        <v>96</v>
      </c>
    </row>
    <row r="268" spans="1:16" ht="15">
      <c r="A268" s="12">
        <f>ROW() - ROW(CertTracker[[#Headers],[Index]])</f>
        <v>267</v>
      </c>
      <c r="B268" s="21" t="s">
        <v>780</v>
      </c>
      <c r="C268" s="47" t="s">
        <v>781</v>
      </c>
      <c r="D268" s="12" t="s">
        <v>4</v>
      </c>
      <c r="E268" s="36" t="s">
        <v>170</v>
      </c>
      <c r="F268" s="28" t="s">
        <v>18</v>
      </c>
      <c r="G268" s="36" t="s">
        <v>44</v>
      </c>
      <c r="H268" s="32"/>
      <c r="I268" s="32"/>
    </row>
    <row r="269" spans="1:16" ht="15">
      <c r="A269" s="12">
        <f>ROW() - ROW(CertTracker[[#Headers],[Index]])</f>
        <v>268</v>
      </c>
      <c r="B269" s="21" t="s">
        <v>782</v>
      </c>
      <c r="C269" s="47" t="s">
        <v>783</v>
      </c>
      <c r="D269" s="12" t="s">
        <v>4</v>
      </c>
      <c r="E269" s="36" t="s">
        <v>718</v>
      </c>
      <c r="F269" s="28" t="s">
        <v>19</v>
      </c>
      <c r="G269" s="36" t="s">
        <v>44</v>
      </c>
      <c r="H269" s="32">
        <v>46209</v>
      </c>
      <c r="I269" s="32">
        <v>46233</v>
      </c>
      <c r="P269" s="12" t="s">
        <v>96</v>
      </c>
    </row>
    <row r="270" spans="1:16" ht="15">
      <c r="A270" s="12">
        <f>ROW() - ROW(CertTracker[[#Headers],[Index]])</f>
        <v>269</v>
      </c>
      <c r="B270" s="21" t="s">
        <v>784</v>
      </c>
      <c r="C270" s="47" t="s">
        <v>785</v>
      </c>
      <c r="D270" s="12" t="s">
        <v>4</v>
      </c>
      <c r="E270" s="36" t="s">
        <v>718</v>
      </c>
      <c r="F270" s="28" t="s">
        <v>19</v>
      </c>
      <c r="G270" s="36" t="s">
        <v>44</v>
      </c>
      <c r="H270" s="32">
        <v>46209</v>
      </c>
      <c r="I270" s="32">
        <v>46233</v>
      </c>
      <c r="P270" s="12" t="s">
        <v>96</v>
      </c>
    </row>
    <row r="271" spans="1:16" ht="15">
      <c r="A271" s="12">
        <f>ROW() - ROW(CertTracker[[#Headers],[Index]])</f>
        <v>270</v>
      </c>
      <c r="B271" s="21" t="s">
        <v>786</v>
      </c>
      <c r="C271" s="47" t="s">
        <v>787</v>
      </c>
      <c r="D271" s="12" t="s">
        <v>4</v>
      </c>
      <c r="E271" s="36" t="s">
        <v>718</v>
      </c>
      <c r="F271" s="28" t="s">
        <v>19</v>
      </c>
      <c r="G271" s="36" t="s">
        <v>44</v>
      </c>
      <c r="H271" s="32">
        <v>46223</v>
      </c>
      <c r="I271" s="32">
        <v>46233</v>
      </c>
      <c r="P271" s="12" t="s">
        <v>96</v>
      </c>
    </row>
    <row r="272" spans="1:16">
      <c r="A272" s="12">
        <f>ROW() - ROW(CertTracker[[#Headers],[Index]])</f>
        <v>271</v>
      </c>
      <c r="B272" s="21" t="s">
        <v>788</v>
      </c>
      <c r="C272" t="s">
        <v>789</v>
      </c>
      <c r="D272" s="12" t="s">
        <v>4</v>
      </c>
      <c r="E272" t="s">
        <v>754</v>
      </c>
      <c r="F272" t="s">
        <v>15</v>
      </c>
      <c r="G272" s="36" t="s">
        <v>119</v>
      </c>
      <c r="H272" s="48">
        <v>46213</v>
      </c>
      <c r="I272" t="s">
        <v>790</v>
      </c>
      <c r="P272" s="12" t="s">
        <v>121</v>
      </c>
    </row>
    <row r="273" spans="1:16" ht="15">
      <c r="A273" s="12">
        <f>ROW() - ROW(CertTracker[[#Headers],[Index]])</f>
        <v>272</v>
      </c>
      <c r="B273" s="21" t="s">
        <v>791</v>
      </c>
      <c r="C273" t="s">
        <v>792</v>
      </c>
      <c r="D273" s="12" t="s">
        <v>5</v>
      </c>
      <c r="E273" s="36" t="s">
        <v>499</v>
      </c>
      <c r="F273" s="28" t="s">
        <v>19</v>
      </c>
      <c r="G273" s="50" t="s">
        <v>95</v>
      </c>
      <c r="H273" s="49">
        <v>46200</v>
      </c>
      <c r="I273" s="49"/>
      <c r="O273" s="12" t="s">
        <v>500</v>
      </c>
      <c r="P273" s="12" t="s">
        <v>96</v>
      </c>
    </row>
    <row r="274" spans="1:16" ht="15">
      <c r="A274" s="12">
        <f>ROW() - ROW(CertTracker[[#Headers],[Index]])</f>
        <v>273</v>
      </c>
      <c r="B274" s="21" t="s">
        <v>793</v>
      </c>
      <c r="C274" t="s">
        <v>794</v>
      </c>
      <c r="D274" s="12" t="s">
        <v>4</v>
      </c>
      <c r="E274" t="s">
        <v>718</v>
      </c>
      <c r="F274" s="51" t="s">
        <v>19</v>
      </c>
      <c r="G274" s="50" t="s">
        <v>95</v>
      </c>
      <c r="H274" s="49">
        <v>46222</v>
      </c>
      <c r="I274" s="49">
        <v>46238</v>
      </c>
      <c r="P274" s="12" t="s">
        <v>96</v>
      </c>
    </row>
    <row r="275" spans="1:16" ht="15">
      <c r="A275" s="12">
        <v>274</v>
      </c>
      <c r="B275" t="s">
        <v>795</v>
      </c>
      <c r="C275" t="s">
        <v>796</v>
      </c>
      <c r="D275" s="12" t="s">
        <v>4</v>
      </c>
      <c r="E275" s="50" t="s">
        <v>499</v>
      </c>
      <c r="F275" s="51" t="s">
        <v>19</v>
      </c>
      <c r="G275" s="50" t="s">
        <v>95</v>
      </c>
      <c r="H275" s="49"/>
      <c r="I275" s="49"/>
      <c r="P275" s="12" t="s">
        <v>96</v>
      </c>
    </row>
    <row r="276" spans="1:16" ht="15">
      <c r="A276" s="12">
        <v>275</v>
      </c>
      <c r="B276" s="21" t="s">
        <v>797</v>
      </c>
      <c r="C276" t="s">
        <v>798</v>
      </c>
      <c r="D276" s="12" t="s">
        <v>4</v>
      </c>
      <c r="E276" s="52" t="s">
        <v>9</v>
      </c>
      <c r="F276" s="28"/>
      <c r="G276" s="53" t="s">
        <v>416</v>
      </c>
      <c r="H276" s="49"/>
      <c r="I276" s="49"/>
    </row>
    <row r="277" spans="1:16" ht="15">
      <c r="A277" s="12">
        <v>276</v>
      </c>
      <c r="B277" t="s">
        <v>799</v>
      </c>
      <c r="C277" t="s">
        <v>800</v>
      </c>
      <c r="D277" s="54"/>
      <c r="E277" t="s">
        <v>452</v>
      </c>
      <c r="F277" s="51" t="s">
        <v>19</v>
      </c>
      <c r="G277" s="50" t="s">
        <v>95</v>
      </c>
      <c r="H277" s="49"/>
      <c r="I277" s="49"/>
      <c r="P277" s="12" t="s">
        <v>96</v>
      </c>
    </row>
    <row r="278" spans="1:16" ht="15">
      <c r="A278" s="12">
        <v>277</v>
      </c>
      <c r="B278" s="21" t="s">
        <v>801</v>
      </c>
      <c r="C278" t="s">
        <v>802</v>
      </c>
      <c r="D278" s="55" t="s">
        <v>4</v>
      </c>
      <c r="E278" s="36" t="s">
        <v>718</v>
      </c>
      <c r="F278" s="28" t="s">
        <v>19</v>
      </c>
      <c r="G278" s="36" t="s">
        <v>95</v>
      </c>
      <c r="H278" s="49"/>
      <c r="I278" s="49">
        <v>46272</v>
      </c>
      <c r="P278" s="12" t="s">
        <v>96</v>
      </c>
    </row>
    <row r="279" spans="1:16" ht="15">
      <c r="A279" s="12">
        <f>ROW() - ROW(CertTracker[[#Headers],[Index]])</f>
        <v>278</v>
      </c>
      <c r="B279" s="21" t="s">
        <v>803</v>
      </c>
      <c r="C279" t="s">
        <v>804</v>
      </c>
      <c r="D279" s="55" t="s">
        <v>4</v>
      </c>
      <c r="E279" s="36" t="s">
        <v>718</v>
      </c>
      <c r="F279" s="28" t="s">
        <v>19</v>
      </c>
      <c r="G279" s="36" t="s">
        <v>95</v>
      </c>
      <c r="H279" s="49"/>
      <c r="I279" s="49"/>
      <c r="P279" s="12" t="s">
        <v>96</v>
      </c>
    </row>
    <row r="280" spans="1:16" ht="15">
      <c r="A280" s="12">
        <v>279</v>
      </c>
      <c r="B280" s="21" t="s">
        <v>805</v>
      </c>
      <c r="C280" t="s">
        <v>806</v>
      </c>
      <c r="D280" s="55" t="s">
        <v>4</v>
      </c>
      <c r="E280" s="50" t="s">
        <v>27</v>
      </c>
      <c r="F280" s="50" t="s">
        <v>27</v>
      </c>
      <c r="G280" s="36" t="s">
        <v>807</v>
      </c>
      <c r="H280" s="49">
        <v>46254</v>
      </c>
      <c r="I280" s="49">
        <v>46268</v>
      </c>
    </row>
    <row r="281" spans="1:16" ht="15">
      <c r="A281" s="12">
        <v>280</v>
      </c>
      <c r="B281" s="21" t="s">
        <v>808</v>
      </c>
      <c r="C281" t="s">
        <v>809</v>
      </c>
      <c r="D281" s="55" t="s">
        <v>4</v>
      </c>
      <c r="E281" s="36" t="s">
        <v>810</v>
      </c>
      <c r="F281" s="28" t="s">
        <v>8</v>
      </c>
      <c r="G281" s="56" t="s">
        <v>105</v>
      </c>
      <c r="H281" s="49"/>
      <c r="I281" s="49"/>
    </row>
  </sheetData>
  <conditionalFormatting sqref="D2:D276">
    <cfRule type="cellIs" dxfId="21" priority="1" operator="equal">
      <formula>"Certified"</formula>
    </cfRule>
    <cfRule type="cellIs" dxfId="20" priority="2" operator="equal">
      <formula>"In Progress"</formula>
    </cfRule>
    <cfRule type="cellIs" dxfId="19" priority="3" operator="equal">
      <formula>"Waiting for Results"</formula>
    </cfRule>
    <cfRule type="cellIs" dxfId="18" priority="4" operator="equal">
      <formula>"Attempted - Not Cleared"</formula>
    </cfRule>
  </conditionalFormatting>
  <dataValidations count="1">
    <dataValidation type="list" allowBlank="1" showInputMessage="1" showErrorMessage="1" sqref="D2:D276 D282:D1048576" xr:uid="{3A609E7F-F66E-436D-8DB4-501EF52A78A7}">
      <formula1>"Certified, In Progress, Attempted - Not Cleared, Waiting for Results"</formula1>
    </dataValidation>
  </dataValidations>
  <hyperlinks>
    <hyperlink ref="C266" r:id="rId1" xr:uid="{ABF5BD46-5EF4-453C-BABD-D5D5C6D56DE3}"/>
    <hyperlink ref="C267" r:id="rId2" xr:uid="{E9E3F057-5527-49F1-B42F-2EEE41CA07CA}"/>
    <hyperlink ref="C268" r:id="rId3" xr:uid="{753B0CEA-E495-44C9-9A69-EC4E3B29F792}"/>
    <hyperlink ref="C269" r:id="rId4" xr:uid="{8C3CE6D4-0A9A-43E2-90DE-BF94E5457489}"/>
    <hyperlink ref="C271" r:id="rId5" xr:uid="{FD43869A-22F5-4EB4-8A8C-C842484659A2}"/>
    <hyperlink ref="C270" r:id="rId6" xr:uid="{62E9A3F5-5B97-4E8E-A2DA-8B00675BC3D0}"/>
    <hyperlink ref="C272" r:id="rId7" xr:uid="{CB59B75D-9469-48AC-8CD4-F6C467CEB37F}"/>
  </hyperlinks>
  <pageMargins left="0.75" right="0.75" top="1" bottom="1" header="0.511811023622047" footer="0.511811023622047"/>
  <pageSetup paperSize="9" orientation="portrait" horizontalDpi="300" verticalDpi="300" r:id="rId8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A3BE-1BA6-4D75-9651-6D629916CA0F}">
  <dimension ref="A1:E10"/>
  <sheetViews>
    <sheetView workbookViewId="0">
      <selection activeCell="D11" sqref="D11"/>
    </sheetView>
  </sheetViews>
  <sheetFormatPr defaultRowHeight="14.45"/>
  <cols>
    <col min="1" max="1" width="5.7109375" bestFit="1" customWidth="1"/>
    <col min="2" max="2" width="39.7109375" customWidth="1"/>
    <col min="3" max="3" width="30.28515625" style="44" customWidth="1"/>
    <col min="4" max="9" width="35.42578125" customWidth="1"/>
  </cols>
  <sheetData>
    <row r="1" spans="1:5">
      <c r="A1" s="1" t="s">
        <v>28</v>
      </c>
      <c r="B1" s="2" t="s">
        <v>29</v>
      </c>
      <c r="C1" s="2" t="s">
        <v>1</v>
      </c>
      <c r="D1" s="2" t="s">
        <v>39</v>
      </c>
    </row>
    <row r="2" spans="1:5">
      <c r="A2">
        <v>1</v>
      </c>
      <c r="B2" t="s">
        <v>659</v>
      </c>
      <c r="C2" s="43" t="s">
        <v>811</v>
      </c>
      <c r="D2" s="39" t="s">
        <v>812</v>
      </c>
      <c r="E2" s="40"/>
    </row>
    <row r="3" spans="1:5">
      <c r="A3">
        <v>2</v>
      </c>
      <c r="B3" s="39" t="s">
        <v>619</v>
      </c>
      <c r="C3" s="43" t="s">
        <v>811</v>
      </c>
      <c r="D3" s="39" t="s">
        <v>812</v>
      </c>
      <c r="E3" s="40"/>
    </row>
    <row r="4" spans="1:5">
      <c r="A4">
        <v>3</v>
      </c>
      <c r="B4" s="39" t="s">
        <v>813</v>
      </c>
      <c r="C4" s="43" t="s">
        <v>811</v>
      </c>
      <c r="D4" s="39" t="s">
        <v>812</v>
      </c>
      <c r="E4" s="41"/>
    </row>
    <row r="5" spans="1:5" ht="15">
      <c r="A5">
        <v>4</v>
      </c>
      <c r="B5" s="42" t="s">
        <v>814</v>
      </c>
      <c r="C5" s="43" t="s">
        <v>811</v>
      </c>
      <c r="D5" s="39" t="s">
        <v>812</v>
      </c>
    </row>
    <row r="6" spans="1:5">
      <c r="A6">
        <v>5</v>
      </c>
      <c r="B6" t="s">
        <v>659</v>
      </c>
      <c r="C6" s="43" t="s">
        <v>811</v>
      </c>
      <c r="D6" s="39" t="s">
        <v>812</v>
      </c>
    </row>
    <row r="7" spans="1:5" ht="15">
      <c r="A7">
        <v>6</v>
      </c>
      <c r="B7" s="38" t="s">
        <v>773</v>
      </c>
      <c r="C7" s="43" t="s">
        <v>815</v>
      </c>
      <c r="D7" s="38" t="s">
        <v>816</v>
      </c>
    </row>
    <row r="8" spans="1:5" ht="15">
      <c r="A8">
        <v>7</v>
      </c>
      <c r="B8" s="38" t="s">
        <v>296</v>
      </c>
      <c r="C8" s="43" t="s">
        <v>811</v>
      </c>
      <c r="D8" s="38" t="s">
        <v>816</v>
      </c>
    </row>
    <row r="9" spans="1:5" ht="15">
      <c r="A9">
        <v>8</v>
      </c>
      <c r="B9" s="38" t="s">
        <v>817</v>
      </c>
      <c r="C9" s="43" t="s">
        <v>815</v>
      </c>
      <c r="D9" s="38" t="s">
        <v>816</v>
      </c>
    </row>
    <row r="10" spans="1:5" ht="15">
      <c r="A10">
        <v>9</v>
      </c>
      <c r="B10" s="38" t="s">
        <v>818</v>
      </c>
      <c r="C10" s="43" t="s">
        <v>815</v>
      </c>
      <c r="D10" s="38" t="s">
        <v>816</v>
      </c>
    </row>
  </sheetData>
  <dataValidations count="1">
    <dataValidation type="list" allowBlank="1" showInputMessage="1" showErrorMessage="1" sqref="C11:C1048576 C1" xr:uid="{75454CC2-83E0-4E9F-9C78-30E64477D427}">
      <formula1>"Exam Taken – Status Pending,Payment Done – Exam Pending,Other 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H15"/>
  <sheetViews>
    <sheetView showGridLines="0" zoomScaleNormal="100" workbookViewId="0">
      <selection activeCell="E19" sqref="E19"/>
    </sheetView>
  </sheetViews>
  <sheetFormatPr defaultColWidth="8.7109375" defaultRowHeight="14.45"/>
  <cols>
    <col min="3" max="3" width="24" customWidth="1"/>
    <col min="4" max="8" width="14" customWidth="1"/>
  </cols>
  <sheetData>
    <row r="4" spans="3:8">
      <c r="C4" s="1" t="s">
        <v>819</v>
      </c>
      <c r="D4" s="2" t="s">
        <v>4</v>
      </c>
      <c r="E4" s="2" t="s">
        <v>5</v>
      </c>
      <c r="F4" s="2" t="s">
        <v>820</v>
      </c>
      <c r="G4" s="2" t="s">
        <v>3</v>
      </c>
      <c r="H4" s="2" t="s">
        <v>7</v>
      </c>
    </row>
    <row r="5" spans="3:8">
      <c r="C5" s="4" t="s">
        <v>21</v>
      </c>
      <c r="D5" s="3">
        <v>32</v>
      </c>
      <c r="E5" s="3">
        <v>8</v>
      </c>
      <c r="F5" s="3">
        <v>0</v>
      </c>
      <c r="G5" s="3">
        <v>0</v>
      </c>
      <c r="H5" s="3">
        <v>40</v>
      </c>
    </row>
    <row r="6" spans="3:8">
      <c r="C6" s="4" t="s">
        <v>19</v>
      </c>
      <c r="D6" s="3">
        <v>7</v>
      </c>
      <c r="E6" s="3">
        <v>19</v>
      </c>
      <c r="F6" s="3">
        <v>1</v>
      </c>
      <c r="G6" s="3">
        <v>1</v>
      </c>
      <c r="H6" s="3">
        <v>28</v>
      </c>
    </row>
    <row r="7" spans="3:8">
      <c r="C7" s="4" t="s">
        <v>821</v>
      </c>
      <c r="D7" s="3">
        <v>6</v>
      </c>
      <c r="E7" s="3">
        <v>3</v>
      </c>
      <c r="F7" s="3">
        <v>1</v>
      </c>
      <c r="G7" s="3">
        <v>3</v>
      </c>
      <c r="H7" s="3">
        <v>13</v>
      </c>
    </row>
    <row r="8" spans="3:8">
      <c r="C8" s="4" t="s">
        <v>12</v>
      </c>
      <c r="D8" s="3">
        <v>5</v>
      </c>
      <c r="E8" s="3">
        <v>7</v>
      </c>
      <c r="F8" s="3">
        <v>1</v>
      </c>
      <c r="G8" s="3">
        <v>0</v>
      </c>
      <c r="H8" s="3">
        <v>13</v>
      </c>
    </row>
    <row r="9" spans="3:8">
      <c r="C9" s="4" t="s">
        <v>16</v>
      </c>
      <c r="D9" s="3">
        <v>6</v>
      </c>
      <c r="E9" s="3">
        <v>5</v>
      </c>
      <c r="F9" s="3">
        <v>1</v>
      </c>
      <c r="G9" s="3">
        <v>0</v>
      </c>
      <c r="H9" s="3">
        <v>12</v>
      </c>
    </row>
    <row r="10" spans="3:8">
      <c r="C10" s="4" t="s">
        <v>8</v>
      </c>
      <c r="D10" s="3">
        <v>6</v>
      </c>
      <c r="E10" s="3">
        <v>3</v>
      </c>
      <c r="F10" s="3">
        <v>0</v>
      </c>
      <c r="G10" s="3">
        <v>0</v>
      </c>
      <c r="H10" s="3">
        <v>9</v>
      </c>
    </row>
    <row r="11" spans="3:8">
      <c r="C11" s="4" t="s">
        <v>22</v>
      </c>
      <c r="D11" s="3">
        <v>1</v>
      </c>
      <c r="E11" s="3">
        <v>5</v>
      </c>
      <c r="F11" s="3">
        <v>0</v>
      </c>
      <c r="G11" s="3">
        <v>1</v>
      </c>
      <c r="H11" s="3">
        <v>7</v>
      </c>
    </row>
    <row r="12" spans="3:8">
      <c r="C12" s="4" t="s">
        <v>15</v>
      </c>
      <c r="D12" s="3">
        <v>0</v>
      </c>
      <c r="E12" s="3">
        <v>4</v>
      </c>
      <c r="F12" s="3">
        <v>0</v>
      </c>
      <c r="G12" s="3">
        <v>0</v>
      </c>
      <c r="H12" s="3">
        <v>4</v>
      </c>
    </row>
    <row r="13" spans="3:8">
      <c r="C13" s="4" t="s">
        <v>13</v>
      </c>
      <c r="D13" s="3">
        <v>2</v>
      </c>
      <c r="E13" s="3">
        <v>0</v>
      </c>
      <c r="F13" s="3">
        <v>0</v>
      </c>
      <c r="G13" s="3">
        <v>1</v>
      </c>
      <c r="H13" s="3">
        <v>3</v>
      </c>
    </row>
    <row r="14" spans="3:8">
      <c r="C14" s="4" t="s">
        <v>10</v>
      </c>
      <c r="D14" s="3">
        <v>1</v>
      </c>
      <c r="E14" s="3">
        <v>1</v>
      </c>
      <c r="F14" s="3">
        <v>0</v>
      </c>
      <c r="G14" s="3">
        <v>0</v>
      </c>
      <c r="H14" s="3">
        <v>2</v>
      </c>
    </row>
    <row r="15" spans="3:8">
      <c r="C15" s="5" t="s">
        <v>7</v>
      </c>
      <c r="D15" s="6">
        <f>SUM(D5:D14)</f>
        <v>66</v>
      </c>
      <c r="E15" s="6">
        <f>SUM(E5:E14)</f>
        <v>55</v>
      </c>
      <c r="F15" s="6">
        <f>SUM(F5:F14)</f>
        <v>4</v>
      </c>
      <c r="G15" s="6">
        <f>SUM(G5:G14)</f>
        <v>6</v>
      </c>
      <c r="H15" s="6">
        <f>SUM(H5:H14)</f>
        <v>131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H15"/>
  <sheetViews>
    <sheetView showGridLines="0" topLeftCell="A3" zoomScaleNormal="100" workbookViewId="0">
      <selection activeCell="E12" sqref="E12"/>
    </sheetView>
  </sheetViews>
  <sheetFormatPr defaultColWidth="8.7109375" defaultRowHeight="14.45"/>
  <cols>
    <col min="3" max="3" width="30" customWidth="1"/>
    <col min="4" max="8" width="14" customWidth="1"/>
  </cols>
  <sheetData>
    <row r="4" spans="3:8">
      <c r="C4" s="1" t="s">
        <v>32</v>
      </c>
      <c r="D4" s="2" t="s">
        <v>4</v>
      </c>
      <c r="E4" s="2" t="s">
        <v>5</v>
      </c>
      <c r="F4" s="2" t="s">
        <v>820</v>
      </c>
      <c r="G4" s="2" t="s">
        <v>3</v>
      </c>
      <c r="H4" s="2" t="s">
        <v>822</v>
      </c>
    </row>
    <row r="5" spans="3:8">
      <c r="C5" s="4" t="s">
        <v>49</v>
      </c>
      <c r="D5" s="3">
        <v>28</v>
      </c>
      <c r="E5" s="3">
        <v>11</v>
      </c>
      <c r="F5" s="3">
        <v>0</v>
      </c>
      <c r="G5" s="3">
        <v>1</v>
      </c>
      <c r="H5" s="3">
        <v>40</v>
      </c>
    </row>
    <row r="6" spans="3:8">
      <c r="C6" s="4" t="s">
        <v>44</v>
      </c>
      <c r="D6" s="3">
        <v>12</v>
      </c>
      <c r="E6" s="3">
        <v>11</v>
      </c>
      <c r="F6" s="3">
        <v>2</v>
      </c>
      <c r="G6" s="3">
        <v>3</v>
      </c>
      <c r="H6" s="3">
        <v>28</v>
      </c>
    </row>
    <row r="7" spans="3:8">
      <c r="C7" s="4" t="s">
        <v>95</v>
      </c>
      <c r="D7" s="3">
        <v>7</v>
      </c>
      <c r="E7" s="3">
        <v>16</v>
      </c>
      <c r="F7" s="3">
        <v>1</v>
      </c>
      <c r="G7" s="3">
        <v>1</v>
      </c>
      <c r="H7" s="3">
        <v>25</v>
      </c>
    </row>
    <row r="8" spans="3:8">
      <c r="C8" s="4" t="s">
        <v>105</v>
      </c>
      <c r="D8" s="3">
        <v>12</v>
      </c>
      <c r="E8" s="3">
        <v>8</v>
      </c>
      <c r="F8" s="3">
        <v>1</v>
      </c>
      <c r="G8" s="3">
        <v>0</v>
      </c>
      <c r="H8" s="3">
        <v>21</v>
      </c>
    </row>
    <row r="9" spans="3:8">
      <c r="C9" s="4" t="s">
        <v>80</v>
      </c>
      <c r="D9" s="3">
        <v>4</v>
      </c>
      <c r="E9" s="3">
        <v>2</v>
      </c>
      <c r="F9" s="3">
        <v>0</v>
      </c>
      <c r="G9" s="3">
        <v>0</v>
      </c>
      <c r="H9" s="3">
        <v>6</v>
      </c>
    </row>
    <row r="10" spans="3:8">
      <c r="C10" s="4" t="s">
        <v>101</v>
      </c>
      <c r="D10" s="3">
        <v>2</v>
      </c>
      <c r="E10" s="3">
        <v>1</v>
      </c>
      <c r="F10" s="3">
        <v>0</v>
      </c>
      <c r="G10" s="3">
        <v>1</v>
      </c>
      <c r="H10" s="3">
        <v>4</v>
      </c>
    </row>
    <row r="11" spans="3:8">
      <c r="C11" s="4" t="s">
        <v>119</v>
      </c>
      <c r="D11" s="3">
        <v>0</v>
      </c>
      <c r="E11" s="3">
        <v>4</v>
      </c>
      <c r="F11" s="3">
        <v>0</v>
      </c>
      <c r="G11" s="3">
        <v>0</v>
      </c>
      <c r="H11" s="3">
        <v>4</v>
      </c>
    </row>
    <row r="12" spans="3:8">
      <c r="C12" s="4" t="s">
        <v>88</v>
      </c>
      <c r="D12" s="3">
        <v>1</v>
      </c>
      <c r="E12" s="3">
        <v>0</v>
      </c>
      <c r="F12" s="3">
        <v>0</v>
      </c>
      <c r="G12" s="3">
        <v>0</v>
      </c>
      <c r="H12" s="3">
        <v>1</v>
      </c>
    </row>
    <row r="13" spans="3:8">
      <c r="C13" s="4" t="s">
        <v>322</v>
      </c>
      <c r="D13" s="3">
        <v>0</v>
      </c>
      <c r="E13" s="3">
        <v>1</v>
      </c>
      <c r="F13" s="3">
        <v>0</v>
      </c>
      <c r="G13" s="3">
        <v>0</v>
      </c>
      <c r="H13" s="3">
        <v>1</v>
      </c>
    </row>
    <row r="14" spans="3:8">
      <c r="C14" s="4" t="s">
        <v>22</v>
      </c>
      <c r="D14" s="3">
        <v>0</v>
      </c>
      <c r="E14" s="3">
        <v>1</v>
      </c>
      <c r="F14" s="3">
        <v>0</v>
      </c>
      <c r="G14" s="3">
        <v>0</v>
      </c>
      <c r="H14" s="3">
        <v>1</v>
      </c>
    </row>
    <row r="15" spans="3:8">
      <c r="C15" s="5" t="s">
        <v>7</v>
      </c>
      <c r="D15" s="6">
        <f>SUM(D5:D14)</f>
        <v>66</v>
      </c>
      <c r="E15" s="6">
        <f>SUM(E5:E14)</f>
        <v>55</v>
      </c>
      <c r="F15" s="6">
        <f>SUM(F5:F14)</f>
        <v>4</v>
      </c>
      <c r="G15" s="6">
        <f>SUM(G5:G14)</f>
        <v>6</v>
      </c>
      <c r="H15" s="6">
        <f>SUM(H5:H14)</f>
        <v>131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4:F19"/>
  <sheetViews>
    <sheetView showGridLines="0" topLeftCell="A3" zoomScaleNormal="100" workbookViewId="0">
      <selection activeCell="E10" sqref="E10"/>
    </sheetView>
  </sheetViews>
  <sheetFormatPr defaultColWidth="8.7109375" defaultRowHeight="14.45"/>
  <cols>
    <col min="3" max="3" width="24" customWidth="1"/>
    <col min="4" max="6" width="16" customWidth="1"/>
  </cols>
  <sheetData>
    <row r="4" spans="3:6">
      <c r="C4" s="1" t="s">
        <v>819</v>
      </c>
      <c r="D4" s="2" t="s">
        <v>823</v>
      </c>
      <c r="E4" s="2" t="s">
        <v>824</v>
      </c>
      <c r="F4" s="2" t="s">
        <v>825</v>
      </c>
    </row>
    <row r="5" spans="3:6">
      <c r="C5" s="4" t="s">
        <v>13</v>
      </c>
      <c r="D5" s="3">
        <v>3</v>
      </c>
      <c r="E5" s="3">
        <v>3</v>
      </c>
      <c r="F5" s="7">
        <f t="shared" ref="F5:F17" si="0">IF(D5=0,0,E5/D5)</f>
        <v>1</v>
      </c>
    </row>
    <row r="6" spans="3:6">
      <c r="C6" s="4" t="s">
        <v>12</v>
      </c>
      <c r="D6" s="3">
        <v>26</v>
      </c>
      <c r="E6" s="3">
        <v>13</v>
      </c>
      <c r="F6" s="7">
        <f t="shared" si="0"/>
        <v>0.5</v>
      </c>
    </row>
    <row r="7" spans="3:6">
      <c r="C7" s="4" t="s">
        <v>21</v>
      </c>
      <c r="D7" s="3">
        <v>104</v>
      </c>
      <c r="E7" s="3">
        <v>40</v>
      </c>
      <c r="F7" s="7">
        <f t="shared" si="0"/>
        <v>0.38461538461538464</v>
      </c>
    </row>
    <row r="8" spans="3:6">
      <c r="C8" s="4" t="s">
        <v>16</v>
      </c>
      <c r="D8" s="3">
        <v>36</v>
      </c>
      <c r="E8" s="3">
        <v>12</v>
      </c>
      <c r="F8" s="7">
        <f t="shared" si="0"/>
        <v>0.33333333333333331</v>
      </c>
    </row>
    <row r="9" spans="3:6">
      <c r="C9" s="4" t="s">
        <v>19</v>
      </c>
      <c r="D9" s="3">
        <v>101</v>
      </c>
      <c r="E9" s="3">
        <v>28</v>
      </c>
      <c r="F9" s="7">
        <f t="shared" si="0"/>
        <v>0.27722772277227725</v>
      </c>
    </row>
    <row r="10" spans="3:6">
      <c r="C10" s="4" t="s">
        <v>821</v>
      </c>
      <c r="D10" s="3">
        <v>57</v>
      </c>
      <c r="E10" s="3">
        <v>13</v>
      </c>
      <c r="F10" s="7">
        <f t="shared" si="0"/>
        <v>0.22807017543859648</v>
      </c>
    </row>
    <row r="11" spans="3:6">
      <c r="C11" s="4" t="s">
        <v>8</v>
      </c>
      <c r="D11" s="3">
        <v>50</v>
      </c>
      <c r="E11" s="3">
        <v>9</v>
      </c>
      <c r="F11" s="7">
        <f t="shared" si="0"/>
        <v>0.18</v>
      </c>
    </row>
    <row r="12" spans="3:6">
      <c r="C12" s="4" t="s">
        <v>10</v>
      </c>
      <c r="D12" s="3">
        <v>14</v>
      </c>
      <c r="E12" s="3">
        <v>2</v>
      </c>
      <c r="F12" s="7">
        <f t="shared" si="0"/>
        <v>0.14285714285714285</v>
      </c>
    </row>
    <row r="13" spans="3:6">
      <c r="C13" s="4" t="s">
        <v>15</v>
      </c>
      <c r="D13" s="3">
        <v>39</v>
      </c>
      <c r="E13" s="3">
        <v>4</v>
      </c>
      <c r="F13" s="7">
        <f t="shared" si="0"/>
        <v>0.10256410256410256</v>
      </c>
    </row>
    <row r="14" spans="3:6">
      <c r="C14" s="4" t="s">
        <v>11</v>
      </c>
      <c r="D14" s="3">
        <v>41</v>
      </c>
      <c r="E14" s="3">
        <v>0</v>
      </c>
      <c r="F14" s="7">
        <f t="shared" si="0"/>
        <v>0</v>
      </c>
    </row>
    <row r="15" spans="3:6">
      <c r="C15" s="4" t="s">
        <v>17</v>
      </c>
      <c r="D15" s="3">
        <v>4</v>
      </c>
      <c r="E15" s="3">
        <v>0</v>
      </c>
      <c r="F15" s="7">
        <f t="shared" si="0"/>
        <v>0</v>
      </c>
    </row>
    <row r="16" spans="3:6">
      <c r="C16" s="4" t="s">
        <v>22</v>
      </c>
      <c r="D16" s="3">
        <v>0</v>
      </c>
      <c r="E16" s="3">
        <v>7</v>
      </c>
      <c r="F16" s="7">
        <f t="shared" si="0"/>
        <v>0</v>
      </c>
    </row>
    <row r="17" spans="3:6">
      <c r="C17" s="5" t="s">
        <v>7</v>
      </c>
      <c r="D17" s="6">
        <f>SUM(D5:D16)</f>
        <v>475</v>
      </c>
      <c r="E17" s="6">
        <f>SUM(E5:E16)</f>
        <v>131</v>
      </c>
      <c r="F17" s="8">
        <f t="shared" si="0"/>
        <v>0.27578947368421053</v>
      </c>
    </row>
    <row r="19" spans="3:6">
      <c r="C19" s="9" t="s">
        <v>826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032d9a-dc41-4859-a4a6-e4d14431b127" xsi:nil="true"/>
    <lcf76f155ced4ddcb4097134ff3c332f xmlns="95fcfeba-692b-496f-b2ae-d8c8ff3e3ba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A864F085FB5A40B6D25044E24931C2" ma:contentTypeVersion="11" ma:contentTypeDescription="Create a new document." ma:contentTypeScope="" ma:versionID="5ec2e1287aa3954ec2813d0e6994d829">
  <xsd:schema xmlns:xsd="http://www.w3.org/2001/XMLSchema" xmlns:xs="http://www.w3.org/2001/XMLSchema" xmlns:p="http://schemas.microsoft.com/office/2006/metadata/properties" xmlns:ns2="95fcfeba-692b-496f-b2ae-d8c8ff3e3ba6" xmlns:ns3="bc032d9a-dc41-4859-a4a6-e4d14431b127" targetNamespace="http://schemas.microsoft.com/office/2006/metadata/properties" ma:root="true" ma:fieldsID="b86f71b575ec4f583969580c667644b5" ns2:_="" ns3:_="">
    <xsd:import namespace="95fcfeba-692b-496f-b2ae-d8c8ff3e3ba6"/>
    <xsd:import namespace="bc032d9a-dc41-4859-a4a6-e4d14431b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cfeba-692b-496f-b2ae-d8c8ff3e3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4f81363-0cfe-4ded-8af1-7eee20d0de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032d9a-dc41-4859-a4a6-e4d14431b12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f4979de-64ed-47be-8c1f-d75bf983a7c2}" ma:internalName="TaxCatchAll" ma:showField="CatchAllData" ma:web="bc032d9a-dc41-4859-a4a6-e4d14431b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C7407E-A9F6-4ED1-9BB2-E4B7430F16E5}"/>
</file>

<file path=customXml/itemProps2.xml><?xml version="1.0" encoding="utf-8"?>
<ds:datastoreItem xmlns:ds="http://schemas.openxmlformats.org/officeDocument/2006/customXml" ds:itemID="{6CD718AC-9C3A-4EC8-8B4E-7AE0DB514E98}"/>
</file>

<file path=customXml/itemProps3.xml><?xml version="1.0" encoding="utf-8"?>
<ds:datastoreItem xmlns:ds="http://schemas.openxmlformats.org/officeDocument/2006/customXml" ds:itemID="{771DB467-942E-48CC-AC16-7071C05CA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2026-06-12T11:55:57Z</dcterms:created>
  <dcterms:modified xsi:type="dcterms:W3CDTF">2026-09-16T06:36:25Z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0x01010004A864F085FB5A40B6D25044E24931C2</vt:lpwstr>
  </property>
  <property fmtid="{D5CDD505-2E9C-101B-9397-08002B2CF9AE}" pid="3" name="MediaServiceImageTags">
    <vt:lpwstr/>
  </property>
</Properties>
</file>