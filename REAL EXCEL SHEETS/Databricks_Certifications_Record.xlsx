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intuitivetp.sharepoint.com/sites/PartnerAllianceCentral/Shared Documents/General/Technology Partners/Databricks/"/>
    </mc:Choice>
  </mc:AlternateContent>
  <xr:revisionPtr revIDLastSave="0" documentId="8_{E2376F39-8659-44FB-AC88-29C80AA899C7}" xr6:coauthVersionLast="47" xr6:coauthVersionMax="47" xr10:uidLastSave="{00000000-0000-0000-0000-000000000000}"/>
  <bookViews>
    <workbookView xWindow="0" yWindow="660" windowWidth="23260" windowHeight="13900" xr2:uid="{E3FB1ECA-9D14-9A4D-9683-51DD0C3EA30C}"/>
  </bookViews>
  <sheets>
    <sheet name="Certifications" sheetId="1" r:id="rId1"/>
    <sheet name="Sheet1" sheetId="10" r:id="rId2"/>
    <sheet name="From Databricks partner portal" sheetId="9" r:id="rId3"/>
    <sheet name="Registration &amp; Status" sheetId="8" r:id="rId4"/>
    <sheet name="Accreditations" sheetId="3" r:id="rId5"/>
    <sheet name="Dupes or Former Employees" sheetId="6" r:id="rId6"/>
    <sheet name="Sheet2" sheetId="2" state="hidden" r:id="rId7"/>
    <sheet name="Resources" sheetId="7" r:id="rId8"/>
  </sheets>
  <definedNames>
    <definedName name="_xlnm._FilterDatabase" localSheetId="0" hidden="1">Certifications!$A$1:$O$179</definedName>
    <definedName name="_xlnm._FilterDatabase" localSheetId="2" hidden="1">'From Databricks partner portal'!$A$2:$F$61</definedName>
    <definedName name="_xlnm._FilterDatabase" localSheetId="3" hidden="1">'Registration &amp; Status'!$A$1:$E$46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0" i="1" l="1"/>
  <c r="F63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O3" i="1"/>
  <c r="O100" i="1"/>
  <c r="O5" i="1"/>
  <c r="O117" i="1"/>
  <c r="O24" i="1"/>
  <c r="O8" i="1"/>
  <c r="O9" i="1"/>
  <c r="O10" i="1"/>
  <c r="O6" i="1"/>
  <c r="O12" i="1"/>
  <c r="O13" i="1"/>
  <c r="O76" i="1"/>
  <c r="O28" i="1"/>
  <c r="O16" i="1"/>
  <c r="O17" i="1"/>
  <c r="O18" i="1"/>
  <c r="O37" i="1"/>
  <c r="O20" i="1"/>
  <c r="O21" i="1"/>
  <c r="O22" i="1"/>
  <c r="O23" i="1"/>
  <c r="O86" i="1"/>
  <c r="O59" i="1"/>
  <c r="O26" i="1"/>
  <c r="O27" i="1"/>
  <c r="O25" i="1"/>
  <c r="O88" i="1"/>
  <c r="O74" i="1"/>
  <c r="O31" i="1"/>
  <c r="O118" i="1"/>
  <c r="O128" i="1"/>
  <c r="O34" i="1"/>
  <c r="O32" i="1"/>
  <c r="O11" i="1"/>
  <c r="O7" i="1"/>
  <c r="O38" i="1"/>
  <c r="O39" i="1"/>
  <c r="O78" i="1"/>
  <c r="O41" i="1"/>
  <c r="O82" i="1"/>
  <c r="O35" i="1"/>
  <c r="O44" i="1"/>
  <c r="O157" i="1"/>
  <c r="O46" i="1"/>
  <c r="O47" i="1"/>
  <c r="O48" i="1"/>
  <c r="O56" i="1"/>
  <c r="O63" i="1"/>
  <c r="O51" i="1"/>
  <c r="O52" i="1"/>
  <c r="O53" i="1"/>
  <c r="O54" i="1"/>
  <c r="O55" i="1"/>
  <c r="O2" i="1"/>
  <c r="O42" i="1"/>
  <c r="O166" i="1"/>
  <c r="O91" i="1"/>
  <c r="O60" i="1"/>
  <c r="O61" i="1"/>
  <c r="O62" i="1"/>
  <c r="O113" i="1"/>
  <c r="O64" i="1"/>
  <c r="O65" i="1"/>
  <c r="O66" i="1"/>
  <c r="O67" i="1"/>
  <c r="O131" i="1"/>
  <c r="O69" i="1"/>
  <c r="O70" i="1"/>
  <c r="O71" i="1"/>
  <c r="O72" i="1"/>
  <c r="O83" i="1"/>
  <c r="O169" i="1"/>
  <c r="O75" i="1"/>
  <c r="O43" i="1"/>
  <c r="O77" i="1"/>
  <c r="O33" i="1"/>
  <c r="O79" i="1"/>
  <c r="O80" i="1"/>
  <c r="O81" i="1"/>
  <c r="O112" i="1"/>
  <c r="O45" i="1"/>
  <c r="O84" i="1"/>
  <c r="O85" i="1"/>
  <c r="O123" i="1"/>
  <c r="O87" i="1"/>
  <c r="O135" i="1"/>
  <c r="O89" i="1"/>
  <c r="O90" i="1"/>
  <c r="O4" i="1"/>
  <c r="O92" i="1"/>
  <c r="O93" i="1"/>
  <c r="O94" i="1"/>
  <c r="O95" i="1"/>
  <c r="O96" i="1"/>
  <c r="O97" i="1"/>
  <c r="O98" i="1"/>
  <c r="O99" i="1"/>
  <c r="O68" i="1"/>
  <c r="O101" i="1"/>
  <c r="O102" i="1"/>
  <c r="O103" i="1"/>
  <c r="O14" i="1"/>
  <c r="O105" i="1"/>
  <c r="O106" i="1"/>
  <c r="O107" i="1"/>
  <c r="O108" i="1"/>
  <c r="O109" i="1"/>
  <c r="O110" i="1"/>
  <c r="O29" i="1"/>
  <c r="O104" i="1"/>
  <c r="O49" i="1"/>
  <c r="O114" i="1"/>
  <c r="O57" i="1"/>
  <c r="O116" i="1"/>
  <c r="O58" i="1"/>
  <c r="O15" i="1"/>
  <c r="O119" i="1"/>
  <c r="O120" i="1"/>
  <c r="O121" i="1"/>
  <c r="O122" i="1"/>
  <c r="O138" i="1"/>
  <c r="O124" i="1"/>
  <c r="O125" i="1"/>
  <c r="O126" i="1"/>
  <c r="O127" i="1"/>
  <c r="O130" i="1"/>
  <c r="O129" i="1"/>
  <c r="O115" i="1"/>
  <c r="O36" i="1"/>
  <c r="O73" i="1"/>
  <c r="O133" i="1"/>
  <c r="O134" i="1"/>
  <c r="O30" i="1"/>
  <c r="O136" i="1"/>
  <c r="O137" i="1"/>
  <c r="O50" i="1"/>
  <c r="O139" i="1"/>
  <c r="O140" i="1"/>
  <c r="O141" i="1"/>
  <c r="O142" i="1"/>
  <c r="O132" i="1"/>
  <c r="O111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43" i="1"/>
  <c r="O158" i="1"/>
  <c r="O159" i="1"/>
  <c r="O160" i="1"/>
  <c r="O161" i="1"/>
  <c r="O162" i="1"/>
  <c r="O163" i="1"/>
  <c r="O164" i="1"/>
  <c r="O165" i="1"/>
  <c r="O144" i="1"/>
  <c r="O167" i="1"/>
  <c r="O168" i="1"/>
  <c r="O40" i="1"/>
  <c r="O170" i="1"/>
  <c r="O171" i="1"/>
  <c r="O172" i="1"/>
  <c r="O173" i="1"/>
  <c r="O174" i="1"/>
  <c r="O175" i="1"/>
  <c r="O176" i="1"/>
  <c r="O177" i="1"/>
  <c r="O178" i="1"/>
  <c r="O179" i="1"/>
  <c r="O19" i="1"/>
  <c r="C188" i="1"/>
  <c r="I189" i="1"/>
  <c r="I188" i="1"/>
  <c r="I187" i="1"/>
  <c r="I186" i="1"/>
  <c r="I185" i="1"/>
  <c r="I183" i="1"/>
  <c r="I184" i="1"/>
  <c r="C184" i="1"/>
  <c r="C187" i="1"/>
  <c r="C186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H183" i="1"/>
  <c r="G183" i="1"/>
  <c r="C189" i="1" l="1"/>
  <c r="G190" i="1"/>
  <c r="C192" i="1"/>
  <c r="J187" i="1" l="1"/>
  <c r="I190" i="1"/>
  <c r="J189" i="1"/>
  <c r="J188" i="1"/>
  <c r="J186" i="1"/>
  <c r="J185" i="1"/>
  <c r="J184" i="1"/>
  <c r="J183" i="1"/>
  <c r="J190" i="1" l="1"/>
</calcChain>
</file>

<file path=xl/sharedStrings.xml><?xml version="1.0" encoding="utf-8"?>
<sst xmlns="http://schemas.openxmlformats.org/spreadsheetml/2006/main" count="1885" uniqueCount="568">
  <si>
    <t>Name</t>
  </si>
  <si>
    <t>Email ID</t>
  </si>
  <si>
    <t>Completed</t>
  </si>
  <si>
    <t>Cert Type</t>
  </si>
  <si>
    <t>Comments</t>
  </si>
  <si>
    <t>Reports To</t>
  </si>
  <si>
    <t>Practice Director</t>
  </si>
  <si>
    <t>Completion Date</t>
  </si>
  <si>
    <t>Target Date</t>
  </si>
  <si>
    <t>Mandatory</t>
  </si>
  <si>
    <t>Voluntary</t>
  </si>
  <si>
    <t>Employee Status</t>
  </si>
  <si>
    <t>Comment</t>
  </si>
  <si>
    <t>Registered in DBX partner portal</t>
  </si>
  <si>
    <t>Databricks x check</t>
  </si>
  <si>
    <t>Keval Hingu</t>
  </si>
  <si>
    <t>Keval.Hingu@intuitive.cloud</t>
  </si>
  <si>
    <t>Databricks Certified Data Analyst Associate </t>
  </si>
  <si>
    <t>Completed on 20th May 2025</t>
  </si>
  <si>
    <t>Lucian Cimpeanu (Cloud Engineering)</t>
  </si>
  <si>
    <t>Stefano Pecora (Cloud + Platform Eng)</t>
  </si>
  <si>
    <t>Abirbhaba Sahu</t>
  </si>
  <si>
    <t>Abirbhaba.Sahu@intuitive.cloud</t>
  </si>
  <si>
    <t>In-progress</t>
  </si>
  <si>
    <t>Mohammed Shabbir (App + DB Mod)</t>
  </si>
  <si>
    <t>Prem Gandhi</t>
  </si>
  <si>
    <t>Prem.Gandhi@intuitive.cloud</t>
  </si>
  <si>
    <t>Databricks Certified Machine Learning Associate</t>
  </si>
  <si>
    <t>Completed on 18th April, 2025</t>
  </si>
  <si>
    <t>Dr Shake Mohaideen PhD (AI/MlOps)</t>
  </si>
  <si>
    <t>Dr Navid Kalantari PhD (Data + AI)</t>
  </si>
  <si>
    <t>Aditya Desai</t>
  </si>
  <si>
    <t>Aditya.Desai@intuitive.AI</t>
  </si>
  <si>
    <t>Bhavesh Shah (Cloud Native)</t>
  </si>
  <si>
    <t xml:space="preserve">Aniket  Purohit </t>
  </si>
  <si>
    <t xml:space="preserve">Aniket.Purohit@intuitive.cloud </t>
  </si>
  <si>
    <t>Databricks Certified Generative AI Engineer Associate</t>
  </si>
  <si>
    <t>Completed on 29th May, 2025</t>
  </si>
  <si>
    <t>Saksham Baru (Cloud Engineering)</t>
  </si>
  <si>
    <t xml:space="preserve">Divya Mahesh </t>
  </si>
  <si>
    <t xml:space="preserve">Divya.Mahesh@intuitive.cloud </t>
  </si>
  <si>
    <t xml:space="preserve">Ajay Shridhar Giri </t>
  </si>
  <si>
    <t xml:space="preserve">Ajay.Giri@intuitive.cloud </t>
  </si>
  <si>
    <t>Completed on 15th June, 2025</t>
  </si>
  <si>
    <t xml:space="preserve">Ajitesh Sudan </t>
  </si>
  <si>
    <t xml:space="preserve">Ajitesh.Sudan@intuitive.cloud </t>
  </si>
  <si>
    <t>Not cleared</t>
  </si>
  <si>
    <t>Anand Akurathi</t>
  </si>
  <si>
    <t>anand.akurathi@intuitive.cloud</t>
  </si>
  <si>
    <t>Prakash Patil (App + DB Mod)</t>
  </si>
  <si>
    <t xml:space="preserve">
Prakash Patil (App + DB Mod)</t>
  </si>
  <si>
    <t>Dinesh Verma</t>
  </si>
  <si>
    <t>dinesh.verma@intuitive.cloud</t>
  </si>
  <si>
    <t>Completed on 27th June, 2025</t>
  </si>
  <si>
    <t>Anil Amara</t>
  </si>
  <si>
    <t>Anil.Amara@intuitive.cloud</t>
  </si>
  <si>
    <t xml:space="preserve">Ankit Parekh </t>
  </si>
  <si>
    <t>Ankit.Parekh@intuitive.cloud</t>
  </si>
  <si>
    <t>Ravindra Malpute</t>
  </si>
  <si>
    <t>Ravindra.Malpute@intuitive.cloud</t>
  </si>
  <si>
    <t>Completed on 25th April, 2025</t>
  </si>
  <si>
    <t>Piyush Jalan (Cloud Engineering)</t>
  </si>
  <si>
    <t>Saumil Shah</t>
  </si>
  <si>
    <t>Saumil.Shah@intuitive.cloud</t>
  </si>
  <si>
    <t>Completed on 19th April, 2025</t>
  </si>
  <si>
    <t>Asked to follow KB article</t>
  </si>
  <si>
    <t>Apratim Paul</t>
  </si>
  <si>
    <t>Apratim.Paul@intuitive.cloud</t>
  </si>
  <si>
    <t>Inactive</t>
  </si>
  <si>
    <t>Databricks Certified Data Engineer Associate</t>
  </si>
  <si>
    <t>Completed on 30th June,2025</t>
  </si>
  <si>
    <t>Chett Rubenstein (Data + AI)</t>
  </si>
  <si>
    <t>InActive</t>
  </si>
  <si>
    <t>n/a</t>
  </si>
  <si>
    <t>Arnob Kumar Dey</t>
  </si>
  <si>
    <t>arnob.dey@intuitive.cloud</t>
  </si>
  <si>
    <t>Aryan Vasudev</t>
  </si>
  <si>
    <t>aryan.vasudev@Intuitive.AI</t>
  </si>
  <si>
    <t xml:space="preserve">Abhijeet Patil </t>
  </si>
  <si>
    <t xml:space="preserve">Abhijeet.Patil@intuitive.cloud </t>
  </si>
  <si>
    <t>Completed on 30th May, 2025</t>
  </si>
  <si>
    <t>Aziz Saidi</t>
  </si>
  <si>
    <t>Aziz.Saidi@intuitive.cloud</t>
  </si>
  <si>
    <t>Azmat Ahanger</t>
  </si>
  <si>
    <t>azmat.rahim@intuitive.cloud</t>
  </si>
  <si>
    <t>Balachandra Kandukuri</t>
  </si>
  <si>
    <t>balachandra.kandukuri@intuitive.cloud</t>
  </si>
  <si>
    <t xml:space="preserve">
Dr Shake Mohaideen PhD (Data + AI)</t>
  </si>
  <si>
    <t>Bhagesh Puri</t>
  </si>
  <si>
    <t>bhagesh.puri@intuitive.ai</t>
  </si>
  <si>
    <t>Uday Kakkar  (Cloud + Platform Eng)</t>
  </si>
  <si>
    <t>Aditya Shukla</t>
  </si>
  <si>
    <t>Aditya.Shukla@intuitive.cloud</t>
  </si>
  <si>
    <t>Completed on 31st May, 2025</t>
  </si>
  <si>
    <t>Pritam Dodeja (AI/MlOps)</t>
  </si>
  <si>
    <t>Darshan Bhavsar</t>
  </si>
  <si>
    <t>Darshan.Bhavsar@intuitive.cloud</t>
  </si>
  <si>
    <t>Completed on 13th May, 2025</t>
  </si>
  <si>
    <t>Daljit Singh</t>
  </si>
  <si>
    <t>Daljit.Singh@intuitive.cloud</t>
  </si>
  <si>
    <t>Daniel Zivkovic</t>
  </si>
  <si>
    <t>daniel.zivkovic@intuitive.cloud</t>
  </si>
  <si>
    <t>Dr Kanav Kahol PhD (Data + AI)</t>
  </si>
  <si>
    <t>Anurag Kapatia</t>
  </si>
  <si>
    <t>Anurag.Kapatia@intuitive.cloud</t>
  </si>
  <si>
    <t>Completed on 27th April, 2025</t>
  </si>
  <si>
    <t>Pending</t>
  </si>
  <si>
    <t>Sachin Nakhate</t>
  </si>
  <si>
    <t>sachin.nakhate@intuitive.cloud</t>
  </si>
  <si>
    <t>Completed on 16th June 2025</t>
  </si>
  <si>
    <t xml:space="preserve">Thamtam Pruthvi </t>
  </si>
  <si>
    <t xml:space="preserve">Thamtam.Pruthvi@intuitive.cloud </t>
  </si>
  <si>
    <t>David Hammond</t>
  </si>
  <si>
    <t>david.hammond@intuitive.cloud</t>
  </si>
  <si>
    <t>Devangi Goswami</t>
  </si>
  <si>
    <t>devangi.goswami@intuitive.cloud</t>
  </si>
  <si>
    <t>Completed on 23rd April, 2025</t>
  </si>
  <si>
    <t>Vishal Kanade (Cloud Engineering)</t>
  </si>
  <si>
    <t>Narendar Adula</t>
  </si>
  <si>
    <t xml:space="preserve">Narendar.Adula@intuitive.cloud </t>
  </si>
  <si>
    <t>Complete on 28th May 2025</t>
  </si>
  <si>
    <t>Deepak Shrivastav</t>
  </si>
  <si>
    <t>Deepak.Shrivastav@intuitive.cloud</t>
  </si>
  <si>
    <t xml:space="preserve">Hemanth Reddy </t>
  </si>
  <si>
    <t xml:space="preserve">Hemanth.Reddy@intuitive.cloud </t>
  </si>
  <si>
    <t>Complete on 18 th May 2025</t>
  </si>
  <si>
    <t xml:space="preserve">Sundarapandi Dhanushkodi  </t>
  </si>
  <si>
    <t>Sundarapandi.Dhanushkodi@intuitive.cloud</t>
  </si>
  <si>
    <t>Ashish Dudeja</t>
  </si>
  <si>
    <t>ashish.dudeja@intuitive.ai</t>
  </si>
  <si>
    <t>Gaurav Gangwar</t>
  </si>
  <si>
    <t>Gaurav.Gangwar@intuitive.ai</t>
  </si>
  <si>
    <t>Gaurav Suthar</t>
  </si>
  <si>
    <t>gaurav.suthar@intuitive.ai</t>
  </si>
  <si>
    <t>Abilash Sivakumar (Cloud + Platform Eng)</t>
  </si>
  <si>
    <t xml:space="preserve">Yaswardhan Reddy </t>
  </si>
  <si>
    <t xml:space="preserve">Yaswardhan.Reddy@intuitive.cloud </t>
  </si>
  <si>
    <t>Harshil Kammar</t>
  </si>
  <si>
    <t>harshil.khamar@intuitive.ai</t>
  </si>
  <si>
    <t>Bhagesh Puri (Cloud + Platform Eng)</t>
  </si>
  <si>
    <t>Khushi Carpenter</t>
  </si>
  <si>
    <t>Khushi.Carpenter@intuitive.cloud</t>
  </si>
  <si>
    <t>Muskan Rawat</t>
  </si>
  <si>
    <t>muskan.rawat@intuitive.cloud</t>
  </si>
  <si>
    <t>Completed on 6th May, 2025</t>
  </si>
  <si>
    <t>Het Shah</t>
  </si>
  <si>
    <t>Het.Shah@intuitive.AI</t>
  </si>
  <si>
    <t xml:space="preserve">Nishita Ardeshna </t>
  </si>
  <si>
    <t>Nishita.Ardeshna@intuitive.cloud</t>
  </si>
  <si>
    <t>Completed on 15th August,2025</t>
  </si>
  <si>
    <t>Imran Khan</t>
  </si>
  <si>
    <t>Imran.Khan@intuitive.cloud</t>
  </si>
  <si>
    <t>Innocent Musa</t>
  </si>
  <si>
    <t>Innocent.Musa@intuitive.cloud</t>
  </si>
  <si>
    <t>Janhvi  Kurkure</t>
  </si>
  <si>
    <t>janhvi.kurkure@Intuitive.AI</t>
  </si>
  <si>
    <t>Sakshi Zalavadia</t>
  </si>
  <si>
    <t>Sakshi.Zalavadia@intuitive.cloud</t>
  </si>
  <si>
    <t>Completed on 26th April, 2025</t>
  </si>
  <si>
    <t xml:space="preserve">Veera Kumar </t>
  </si>
  <si>
    <t xml:space="preserve">Veera.Kumar@intuitive.cloud </t>
  </si>
  <si>
    <t>Completed on 17th June, 2025</t>
  </si>
  <si>
    <t xml:space="preserve">Jenish Kotecha </t>
  </si>
  <si>
    <t>Jenish.Kotecha@intuitive.cloud</t>
  </si>
  <si>
    <t>Kalyani Rajawat</t>
  </si>
  <si>
    <t>kalyani.rajawat@intuitive.cloud</t>
  </si>
  <si>
    <t>Databricks Certified Data Analyst Associate</t>
  </si>
  <si>
    <t>Kanav Kahol</t>
  </si>
  <si>
    <t>kanav.kahol@intuitive.cloud</t>
  </si>
  <si>
    <t>Karthik Raja Thangadurai</t>
  </si>
  <si>
    <t>KarthikRaja.Thangadurai@intuitive.cloud</t>
  </si>
  <si>
    <t xml:space="preserve">Kelvi Manavadaria         </t>
  </si>
  <si>
    <t xml:space="preserve">Kelvi.Manavadaria@intuitive.cloud </t>
  </si>
  <si>
    <t xml:space="preserve">Jay Shah </t>
  </si>
  <si>
    <t xml:space="preserve">Jay.Shah@intuitive.cloud </t>
  </si>
  <si>
    <t xml:space="preserve">  </t>
  </si>
  <si>
    <t>Sansriti Ishwar</t>
  </si>
  <si>
    <t>Sansriti.Ishwar@intuitive.cloud</t>
  </si>
  <si>
    <t>Completed on 24th May, 2025</t>
  </si>
  <si>
    <t>Sathish Kumar Devasenathypathy</t>
  </si>
  <si>
    <t>Sathish.Devasenathypathy@intuitive.cloud</t>
  </si>
  <si>
    <t>Completed on 27th March 2024</t>
  </si>
  <si>
    <t>Chett Rubenstein (Data)</t>
  </si>
  <si>
    <t>Chintan Patel</t>
  </si>
  <si>
    <t>chintan.patel@intuitive.cloud</t>
  </si>
  <si>
    <t>Pritam Dodeja (Data + AI)</t>
  </si>
  <si>
    <t>Kumar Aryan</t>
  </si>
  <si>
    <t>Kumar.Aryan@intuitive.cloud</t>
  </si>
  <si>
    <t>Kushagra Sehgal</t>
  </si>
  <si>
    <t>kushagra.sehgal@intuitive.cloud</t>
  </si>
  <si>
    <t>Lakshminarayanan Thirusangu</t>
  </si>
  <si>
    <t>Lakshminarayanan.Thirusangu@intuitive.cloud</t>
  </si>
  <si>
    <t xml:space="preserve">Jayaprakash Mariyappan    </t>
  </si>
  <si>
    <t xml:space="preserve">Jayaprakash.Mariyappan@intuitive.cloud </t>
  </si>
  <si>
    <t>Linkavan Manoharan</t>
  </si>
  <si>
    <t>linkavan.manoharan@intuitive.cloud</t>
  </si>
  <si>
    <t>Lisa Sikkema</t>
  </si>
  <si>
    <t>lisa.sikkema@intuitive.cloud</t>
  </si>
  <si>
    <t>Lucian Cimpeanu</t>
  </si>
  <si>
    <t>Lucian.Cimpeanu@intuitive.cloud</t>
  </si>
  <si>
    <t>Mahendra Bhandari</t>
  </si>
  <si>
    <t>mahendra.bhandari@intuitive.cloud</t>
  </si>
  <si>
    <t>Rakesh R</t>
  </si>
  <si>
    <t>rakesh.r@intuitive.cloud</t>
  </si>
  <si>
    <t>Maksud Beg</t>
  </si>
  <si>
    <t>maksud.beg@intuitive.cloud</t>
  </si>
  <si>
    <t>Malhar Prajapati</t>
  </si>
  <si>
    <t>Malhar.Prajapati@intuitive.AI</t>
  </si>
  <si>
    <t>Mannan Goradiya</t>
  </si>
  <si>
    <t>manan.goradiya@intuitive.ai</t>
  </si>
  <si>
    <t>Arindham Sarkar (Cloud + Platform Eng)</t>
  </si>
  <si>
    <t>Manpreet Singh</t>
  </si>
  <si>
    <t>manpreet.singh@intuitive.cloud</t>
  </si>
  <si>
    <t xml:space="preserve">Suraj Mulchandani </t>
  </si>
  <si>
    <t xml:space="preserve">Suraj.Mulchandani@intuitive.cloud </t>
  </si>
  <si>
    <t>Darshan Shah</t>
  </si>
  <si>
    <t>Darshan.Shah@intuitive.cloud</t>
  </si>
  <si>
    <t>20th May</t>
  </si>
  <si>
    <t>Mohan Vankudoth</t>
  </si>
  <si>
    <t>mohan.vankudoth@intuitive.cloud</t>
  </si>
  <si>
    <t>Ankur Agicha</t>
  </si>
  <si>
    <t>ankur.agicha@intuitive.cloud</t>
  </si>
  <si>
    <t>Naga Kiran</t>
  </si>
  <si>
    <t>naga.kiran@intuitive.cloud</t>
  </si>
  <si>
    <t>Gokturk Yurtyapan</t>
  </si>
  <si>
    <t>gokturk.yurtyapan@intuitive.cloud</t>
  </si>
  <si>
    <t>Naveen Athelly</t>
  </si>
  <si>
    <t>Naveen.Athelly@intuitive.cloud</t>
  </si>
  <si>
    <t>Nikhil Agarwal</t>
  </si>
  <si>
    <t>nikhil.agarwal@intuitive.cloud</t>
  </si>
  <si>
    <t>Nikhil Bhole</t>
  </si>
  <si>
    <t>nikhil.bhole@intuitive.cloud</t>
  </si>
  <si>
    <t>Hemant Rawat</t>
  </si>
  <si>
    <t>hemant.rawat@intuitive.cloud</t>
  </si>
  <si>
    <t>Meghana Ganu</t>
  </si>
  <si>
    <t>Meghana.Ganu@intuitive.cloud</t>
  </si>
  <si>
    <t>Parth Vadodaria</t>
  </si>
  <si>
    <t>Parth.Vadodaria@intuitive.AI</t>
  </si>
  <si>
    <t xml:space="preserve">Patel Bhumi </t>
  </si>
  <si>
    <t>Bhumi.Patel@intuitive.AI</t>
  </si>
  <si>
    <t>Bhoomika Dharmani</t>
  </si>
  <si>
    <t>bhoomika.dharmani@intuitive.cloud</t>
  </si>
  <si>
    <t>Piyush Jalan</t>
  </si>
  <si>
    <t>piyush.jalan@intuitive.cloud</t>
  </si>
  <si>
    <t>Darshan Kanade</t>
  </si>
  <si>
    <t>Darshan.Kanade@intuitive.cloud</t>
  </si>
  <si>
    <t>Prachi Desai</t>
  </si>
  <si>
    <t>Prachi.Desai@intuitive.AI</t>
  </si>
  <si>
    <t>Prathap Maddirala</t>
  </si>
  <si>
    <t>dilliprathapmaddirala@gmail.com</t>
  </si>
  <si>
    <t>Kripal Singh</t>
  </si>
  <si>
    <t>kripal.singh@intuitive.cloud</t>
  </si>
  <si>
    <t>Pritam Dodeja</t>
  </si>
  <si>
    <t>pritam.dodeja@intuitive.cloud</t>
  </si>
  <si>
    <t>Priyanshu Gohil</t>
  </si>
  <si>
    <t>priyanshu.gohil@intuitive.ai</t>
  </si>
  <si>
    <t>Tony Boppuri (Cloud + Platform Eng)</t>
  </si>
  <si>
    <t>Pundrik Shayta</t>
  </si>
  <si>
    <t>Pundrik.Shayta@intuitive.AI</t>
  </si>
  <si>
    <t>Raj Sojitra</t>
  </si>
  <si>
    <t>raj.sojitra@intuitive.cloud</t>
  </si>
  <si>
    <t>Raja Bandaru</t>
  </si>
  <si>
    <t>Raja.Bandaru@intuitive.cloud</t>
  </si>
  <si>
    <t>Raja Putturu</t>
  </si>
  <si>
    <t>Raja.Putturu@intuitive.cloud</t>
  </si>
  <si>
    <t>Rajasankar S</t>
  </si>
  <si>
    <t>rajasankar.s@intuitive.cloud</t>
  </si>
  <si>
    <t>Rajesh Srinivasan</t>
  </si>
  <si>
    <t>Rajesh.Srinivasan@intuitive.cloud</t>
  </si>
  <si>
    <t>Adesh Abhang</t>
  </si>
  <si>
    <t>Adesh.Abhang@intuitive.cloud</t>
  </si>
  <si>
    <t>12th May - TBC</t>
  </si>
  <si>
    <t>Ranjit Routhu</t>
  </si>
  <si>
    <t>Ranjit.Routhu@intuitive.cloud</t>
  </si>
  <si>
    <t>Ravi Sekhara Reddy</t>
  </si>
  <si>
    <t>Ravisekhara.Reddy@intuitive.cloud</t>
  </si>
  <si>
    <t xml:space="preserve">Ravikant Jaiswar </t>
  </si>
  <si>
    <t xml:space="preserve">Ravikant.Jaiswar@intuitive.cloud </t>
  </si>
  <si>
    <t>Sachit Desai</t>
  </si>
  <si>
    <t>Sachit.Desai@intuitive.cloud</t>
  </si>
  <si>
    <t xml:space="preserve">Databricks Certified Data Analyst Associate </t>
  </si>
  <si>
    <t>Arindam Sarkar (Cloud + Platform Eng)</t>
  </si>
  <si>
    <t>Piyush Jalan (Cloud + Platform Eng)</t>
  </si>
  <si>
    <t>Reetesh Mishra</t>
  </si>
  <si>
    <t>reetesh.mishra@intuitive.cloud</t>
  </si>
  <si>
    <t>Reza Mehrizi</t>
  </si>
  <si>
    <t>reza.mehrizi@intuitive.cloud</t>
  </si>
  <si>
    <t>Rikan Sahoo</t>
  </si>
  <si>
    <t>rikan.sahoo@intuitive.cloud</t>
  </si>
  <si>
    <t>Rohit Chadha</t>
  </si>
  <si>
    <t>rohit.chadha@intuitive.cloud</t>
  </si>
  <si>
    <t>Rushi Kardani</t>
  </si>
  <si>
    <t>Rushi.Kardani@intuitive.AI</t>
  </si>
  <si>
    <t>Sachin Badapure</t>
  </si>
  <si>
    <t>Sachin.B@intuitive.cloud</t>
  </si>
  <si>
    <t>Vivek Mohan</t>
  </si>
  <si>
    <t>Vivek.Mohan@intuitive.cloud</t>
  </si>
  <si>
    <t>Nirav Jadav</t>
  </si>
  <si>
    <t>nirav.jadav@intuitive.cloud</t>
  </si>
  <si>
    <t>30/10/2025</t>
  </si>
  <si>
    <t>Linganna Talari</t>
  </si>
  <si>
    <t>linganna.talari@intuitive.cloud</t>
  </si>
  <si>
    <t>Sahal Pathan</t>
  </si>
  <si>
    <t>Sahal.Pathan@intuitive.AI</t>
  </si>
  <si>
    <t>Sukhpreet Singh</t>
  </si>
  <si>
    <t>sukhpreet.singh@intuitive.cloud</t>
  </si>
  <si>
    <t>Sampat Mohta</t>
  </si>
  <si>
    <t>Sampat.Mohta@intuitive.cloud</t>
  </si>
  <si>
    <t>Aditya Shah</t>
  </si>
  <si>
    <t>aditya.shah@intuitive.cloud</t>
  </si>
  <si>
    <t>Deep Kiritkumar Purohit</t>
  </si>
  <si>
    <t>deep.purohit@intuitive.cloud</t>
  </si>
  <si>
    <t>Sarfaraz Makandar</t>
  </si>
  <si>
    <t>sarfaraz.makandar@intuitive.cloud</t>
  </si>
  <si>
    <t>Saurabh Gupta</t>
  </si>
  <si>
    <t>saurabh.gupta@intuitive.cloud</t>
  </si>
  <si>
    <t>Shantanu Hiwrale</t>
  </si>
  <si>
    <t>Shantanu.Hiwrale@intuitive.AI</t>
  </si>
  <si>
    <t>Shaily Shah</t>
  </si>
  <si>
    <t>shaily.shah@intuitive.ai</t>
  </si>
  <si>
    <t>Peter Turner</t>
  </si>
  <si>
    <t>peter.turner@intuitive.ai</t>
  </si>
  <si>
    <t>Shourya Nahar</t>
  </si>
  <si>
    <t>Shourya.Nahar@intuitive.AI</t>
  </si>
  <si>
    <t>Shivam Nigam</t>
  </si>
  <si>
    <t>shivam.nigam@intuitive.cloud</t>
  </si>
  <si>
    <t>Shriram Sabade</t>
  </si>
  <si>
    <t>Shriram.Sabade@intuitive.AI</t>
  </si>
  <si>
    <t>Smit Gandhi</t>
  </si>
  <si>
    <t>Smit.Gandhi@intuitive.AI</t>
  </si>
  <si>
    <t>Deepak Garg</t>
  </si>
  <si>
    <t>deepak.garg@intuitive.cloud</t>
  </si>
  <si>
    <t xml:space="preserve">Databricks Certified Data Engineer Professional </t>
  </si>
  <si>
    <t>Srushti Moghe</t>
  </si>
  <si>
    <t>Srushti.Moghe@intuitive.AI</t>
  </si>
  <si>
    <t>Shreya Joshi</t>
  </si>
  <si>
    <t>shreya.joshi@intuitive.cloud</t>
  </si>
  <si>
    <t>Databricks Certified Data Engineer</t>
  </si>
  <si>
    <t>Mahesh Sutar</t>
  </si>
  <si>
    <t>Mahesh.Sutar@intuitive.AI</t>
  </si>
  <si>
    <t>Vishal Mehta</t>
  </si>
  <si>
    <t>Vishal.Mehta@intuitive.AI</t>
  </si>
  <si>
    <t>Souhail ElAissaoui</t>
  </si>
  <si>
    <t>souhail.elaissaoui@intuitive.cloud</t>
  </si>
  <si>
    <t>Dr Shake Mohaideen PhD (Data + AI)</t>
  </si>
  <si>
    <t>Suyash Srivastava</t>
  </si>
  <si>
    <t>suyash.srivastava@Intuitive.AI</t>
  </si>
  <si>
    <t>Poojan Soni</t>
  </si>
  <si>
    <t>poojan.soni@intuitive.ai</t>
  </si>
  <si>
    <t>Sushain Sharma</t>
  </si>
  <si>
    <t>sushain.sharma@intuitive.cloud</t>
  </si>
  <si>
    <t>Umamaheswari Challa</t>
  </si>
  <si>
    <t>umamaheswari.challa@intuitive.cloud</t>
  </si>
  <si>
    <t>Sharath Rao</t>
  </si>
  <si>
    <t>sharath.rao@intuitive.cloud</t>
  </si>
  <si>
    <t>Venkata Gorle</t>
  </si>
  <si>
    <t>Venkata.Gorle@intuitive.cloud</t>
  </si>
  <si>
    <t>Databricks Certified Data Engineer Assoociate</t>
  </si>
  <si>
    <t>David Hammond (Data + AI)</t>
  </si>
  <si>
    <t>Vamshikrishna Raj</t>
  </si>
  <si>
    <t>vamshikrishna.raj@intuitive.cloud</t>
  </si>
  <si>
    <t>Vasu Bhimani</t>
  </si>
  <si>
    <t>Vasu.Bhimani@intuitive.AI</t>
  </si>
  <si>
    <t>Vinnet Nair</t>
  </si>
  <si>
    <t>vineet.nair@intuitive.ai</t>
  </si>
  <si>
    <t>Vishal Bhartdwaj</t>
  </si>
  <si>
    <t>Karuna Katikala</t>
  </si>
  <si>
    <t>karuna.katikala@intuitive.ai</t>
  </si>
  <si>
    <t xml:space="preserve">Vipin Yadav </t>
  </si>
  <si>
    <t xml:space="preserve">Vipin.Yadav@intuitive.cloud </t>
  </si>
  <si>
    <t>Vraj Modi</t>
  </si>
  <si>
    <t>Vraj.Modi@intuitive.AI</t>
  </si>
  <si>
    <t>Tisha Patel</t>
  </si>
  <si>
    <t>Tisha.Patel@intuitive.AI</t>
  </si>
  <si>
    <t>Pearl Jatonia</t>
  </si>
  <si>
    <t>Pearl.Jotania@intuitive.AI</t>
  </si>
  <si>
    <t>Ayan Abbas</t>
  </si>
  <si>
    <t>Ayan.Abbas@intuitive.AI</t>
  </si>
  <si>
    <t>Vishnu Burkhawala</t>
  </si>
  <si>
    <t>Vishnu.Burkhawala@intuitive.AI</t>
  </si>
  <si>
    <t>Sumit Mishra</t>
  </si>
  <si>
    <t>Sumit.Mishra@intuitive.AI</t>
  </si>
  <si>
    <t>Garret Fernandez</t>
  </si>
  <si>
    <t>Garret.Fernandez@intuitive.AI</t>
  </si>
  <si>
    <t>Harsh Kharwar</t>
  </si>
  <si>
    <t>Harsh.Kharwar@intuitive.AI</t>
  </si>
  <si>
    <t>Chaitanya Baweja</t>
  </si>
  <si>
    <t>Chaitanya.Baweja@intuitive.AI</t>
  </si>
  <si>
    <t>Gourab Banerjee</t>
  </si>
  <si>
    <t>Gourab.Banerjee@intuitive.AI</t>
  </si>
  <si>
    <t>Yuktha Pulukkul</t>
  </si>
  <si>
    <t>Yuktha.Pulukkul@intuitive.AI</t>
  </si>
  <si>
    <t>Hetul Patel</t>
  </si>
  <si>
    <t>Hetul.Patel@intuitive.cloud</t>
  </si>
  <si>
    <t>Darshan Rajyaguru</t>
  </si>
  <si>
    <t>Darshan.Rajyaguru@intuitive.AI</t>
  </si>
  <si>
    <t>Jigarkumar Bhoye</t>
  </si>
  <si>
    <t>Jigarkumar.Bhoye@intuitive.AI</t>
  </si>
  <si>
    <t>Rahul Morabiya</t>
  </si>
  <si>
    <t>Rahul.Morabiya@intuitive.AI</t>
  </si>
  <si>
    <t>Dhruv Maradiya</t>
  </si>
  <si>
    <t>Dhruv.Maradiya@intuitive.AI</t>
  </si>
  <si>
    <t>Kenil Sarang</t>
  </si>
  <si>
    <t>Kenil.Sarang@intuitive.AI</t>
  </si>
  <si>
    <t>Vishal Kanade</t>
  </si>
  <si>
    <t>vishal.kanade@intuitive.cloud</t>
  </si>
  <si>
    <t xml:space="preserve">9th May - TBC </t>
  </si>
  <si>
    <t>Lucian Cimpeanu (Cloud + Platform Eng)</t>
  </si>
  <si>
    <t>Yash Jain</t>
  </si>
  <si>
    <t>Yash.Jain@intuitive.AI</t>
  </si>
  <si>
    <t>Vivek Sharma</t>
  </si>
  <si>
    <t>vivek.sharma@intuitive.cloud</t>
  </si>
  <si>
    <t>Kishore Gajula</t>
  </si>
  <si>
    <t>kishore.gajula@intuitive.cloud</t>
  </si>
  <si>
    <t>Abdul Haleem</t>
  </si>
  <si>
    <t>Abdul.Haleem@intuitive.AI</t>
  </si>
  <si>
    <t>Faisal Zamir</t>
  </si>
  <si>
    <t>Faisal.Zamir@intuitive.AI</t>
  </si>
  <si>
    <t>Milind Dhake</t>
  </si>
  <si>
    <t>milind.dhake@intuitive.cloud</t>
  </si>
  <si>
    <t>Not Cleared</t>
  </si>
  <si>
    <t>Shabhana Mohammed</t>
  </si>
  <si>
    <t>Shabhana.Mohammed@intuitive.AI</t>
  </si>
  <si>
    <t>Databricks Associate Data Engineer</t>
  </si>
  <si>
    <t>Tulika Aggarwal</t>
  </si>
  <si>
    <t>Tulika.Aggarwal@intuitive.AI</t>
  </si>
  <si>
    <t>Rajat Goel</t>
  </si>
  <si>
    <t>Rajat.Goel@intuitive.AI</t>
  </si>
  <si>
    <t>Geethu Raj</t>
  </si>
  <si>
    <t>Geethu.Raj@intuitive.AI</t>
  </si>
  <si>
    <t>Debrup Mondal</t>
  </si>
  <si>
    <t>Debrup.Mondal@intuitive.AI</t>
  </si>
  <si>
    <t>Databricks Certified Machine Learning Professional</t>
  </si>
  <si>
    <t>Amit Singh</t>
  </si>
  <si>
    <t>Amit.Singh@Intuitive.AI</t>
  </si>
  <si>
    <t>Vijayanagaram Ashok</t>
  </si>
  <si>
    <t>Vijayanagaram.Ashok@intuitive.AI</t>
  </si>
  <si>
    <t>Uday Mandava</t>
  </si>
  <si>
    <t>Uday.Mandava@intuitive.AI</t>
  </si>
  <si>
    <t>Saurabh Singh</t>
  </si>
  <si>
    <t>Saurabh.Singh@intuitive.AI</t>
  </si>
  <si>
    <t>Dennis Andrews</t>
  </si>
  <si>
    <t>Dennis.Andrews@Intuitive.AI</t>
  </si>
  <si>
    <t>Total</t>
  </si>
  <si>
    <t>Total eligible</t>
  </si>
  <si>
    <t>Total Completed</t>
  </si>
  <si>
    <t>git</t>
  </si>
  <si>
    <t>Total net</t>
  </si>
  <si>
    <t>Goal</t>
  </si>
  <si>
    <t>Remaining to hit goal</t>
  </si>
  <si>
    <t>Diff Over(Under) - Completed</t>
  </si>
  <si>
    <t>AS AT 2026-04-10</t>
  </si>
  <si>
    <t>#</t>
  </si>
  <si>
    <t>Category</t>
  </si>
  <si>
    <t>Course</t>
  </si>
  <si>
    <t>Date</t>
  </si>
  <si>
    <t>Email</t>
  </si>
  <si>
    <t>Points</t>
  </si>
  <si>
    <t>Technical Certified</t>
  </si>
  <si>
    <t>-</t>
  </si>
  <si>
    <t>abdul.haleem@intuitive.ai</t>
  </si>
  <si>
    <t>Sales Badged</t>
  </si>
  <si>
    <t>Academy Accreditation - Databricks Fundamentals</t>
  </si>
  <si>
    <t>aditya.desai@intuitive.ai</t>
  </si>
  <si>
    <t>Academy Accreditation - Generative AI Fundamentals</t>
  </si>
  <si>
    <t>akshay.agarwal@intuitive.ai</t>
  </si>
  <si>
    <t>amrith.samuel@intuitive.ai</t>
  </si>
  <si>
    <t>aryan.vasudev@intuitive.ai</t>
  </si>
  <si>
    <t>ayan.abbas@intuitive.ai</t>
  </si>
  <si>
    <t>bhumi.patel@intuitive.ai</t>
  </si>
  <si>
    <t>chaitanya.baweja@intuitive.ai</t>
  </si>
  <si>
    <t>darshan.rajyaguru@intuitive.ai</t>
  </si>
  <si>
    <t>Partner Training - Data Intelligence Platform Whiteboard</t>
  </si>
  <si>
    <t>david.hammond@intuitive.ai</t>
  </si>
  <si>
    <t>Partner Training - Azure Databricks Foundations</t>
  </si>
  <si>
    <t>Partner Training - Gen AI &amp; LLM on Databricks</t>
  </si>
  <si>
    <t>debrup.mondal@intuitive.ai</t>
  </si>
  <si>
    <t>Partner Training - Advantages of Gen AI with Data Intelligence</t>
  </si>
  <si>
    <t>Partner Training - 2025 Data + AI Summit Product Announcement Enablement for Partners</t>
  </si>
  <si>
    <t>dhruv.maradiya@intuitive.ai</t>
  </si>
  <si>
    <t>garret.fernandez@intuitive.ai</t>
  </si>
  <si>
    <t>Databricks Certified Data Engineer Professional</t>
  </si>
  <si>
    <t>gaurav.gangwar@intuitive.ai</t>
  </si>
  <si>
    <t>gourab.banerjee@intuitive.ai</t>
  </si>
  <si>
    <t>harsh.kharwar@intuitive.ai</t>
  </si>
  <si>
    <t>het.shah@intuitive.ai</t>
  </si>
  <si>
    <t>janhvi.kurkure@intuitive.ai</t>
  </si>
  <si>
    <t>jatin.kumar@intuitive.ai</t>
  </si>
  <si>
    <t>jigarkumar.bhoye@intuitive.ai</t>
  </si>
  <si>
    <t>kenil.sarang@intuitive.ai</t>
  </si>
  <si>
    <t>kishore.gajula@intuitive.ai</t>
  </si>
  <si>
    <t>malhar.prajapati@intuitive.ai</t>
  </si>
  <si>
    <t>milind.dhake@intuitive.ai</t>
  </si>
  <si>
    <t>parth.vadodaria@intuitive.ai</t>
  </si>
  <si>
    <t>pearl.jotania@intuitive.ai</t>
  </si>
  <si>
    <t>prachi.desai@intuitive.ai</t>
  </si>
  <si>
    <t>pundrik.shayta@intuitive.ai</t>
  </si>
  <si>
    <t>rahul.morabiya@intuitive.ai</t>
  </si>
  <si>
    <t>rohit.chadha@intuitive.ai</t>
  </si>
  <si>
    <t>rushi.kardani@intuitive.ai</t>
  </si>
  <si>
    <t>sahal.pathan@intuitive.ai</t>
  </si>
  <si>
    <t>shantanu.hiwrale@intuitive.ai</t>
  </si>
  <si>
    <t>shourya.nahar@intuitive.ai</t>
  </si>
  <si>
    <t>shriram.sabade@intuitive.ai</t>
  </si>
  <si>
    <t>smit.gandhi@intuitive.ai</t>
  </si>
  <si>
    <t>srushti.moghe@intuitive.ai</t>
  </si>
  <si>
    <t>Partner Training - (Industry) FSI Sales Skills</t>
  </si>
  <si>
    <t>subhkirti.sinha@intuitive.ai</t>
  </si>
  <si>
    <t>Academy Accreditation - Databricks Lakehouse Fundamentals</t>
  </si>
  <si>
    <t>sumit.mishra@intuitive.ai</t>
  </si>
  <si>
    <t>suyash.srivastava@intuitive.ai</t>
  </si>
  <si>
    <t>tisha.patel@intuitive.ai</t>
  </si>
  <si>
    <t>vamshikrishna.raj@intuitive.ai</t>
  </si>
  <si>
    <t>vasu.bhimani@intuitive.ai</t>
  </si>
  <si>
    <t>vibhas.sharma@intuitive.ai</t>
  </si>
  <si>
    <t>vishal.b@intuitive.ai</t>
  </si>
  <si>
    <t>vishnu.burkhawala@intuitive.ai</t>
  </si>
  <si>
    <t>vraj.modi@intuitive.ai</t>
  </si>
  <si>
    <t>yash.jain@intuitive.ai</t>
  </si>
  <si>
    <t>yuktha.pulukkul@intuitive.ai</t>
  </si>
  <si>
    <t>Designation</t>
  </si>
  <si>
    <t>Reporting Manager</t>
  </si>
  <si>
    <t>Status</t>
  </si>
  <si>
    <t>Dhruvi Soni</t>
  </si>
  <si>
    <t>Networking / Cyber Security Engg</t>
  </si>
  <si>
    <t>Mukesh Kumar (Cloud NetSec)</t>
  </si>
  <si>
    <t>Darshil Chocha</t>
  </si>
  <si>
    <t>Arnav Bansal</t>
  </si>
  <si>
    <t>Satvik Sharma</t>
  </si>
  <si>
    <t>Het Parikh</t>
  </si>
  <si>
    <t>Tanvi Sontakke</t>
  </si>
  <si>
    <t>Ankit Mukherjee</t>
  </si>
  <si>
    <t>Bhumi Patel</t>
  </si>
  <si>
    <t>AI/ML Engineer</t>
  </si>
  <si>
    <t>Exam Cleared</t>
  </si>
  <si>
    <t>Cloud Engineer</t>
  </si>
  <si>
    <t>Schedule on 30th</t>
  </si>
  <si>
    <t>Database Engineer</t>
  </si>
  <si>
    <t>Exam cleared</t>
  </si>
  <si>
    <t>Schedule</t>
  </si>
  <si>
    <t>Application Developer</t>
  </si>
  <si>
    <t>Schedule on 28th</t>
  </si>
  <si>
    <t>DataBase Engineer</t>
  </si>
  <si>
    <t>Schedule on 4th</t>
  </si>
  <si>
    <t xml:space="preserve">Project Management Office </t>
  </si>
  <si>
    <t>Mohammed Yakhoob (PMO)</t>
  </si>
  <si>
    <t>Vishal</t>
  </si>
  <si>
    <t xml:space="preserve">Software Developer </t>
  </si>
  <si>
    <t>Schedule on 3rd jan</t>
  </si>
  <si>
    <t>Aryan Vasudeva</t>
  </si>
  <si>
    <t>Platform Engineer</t>
  </si>
  <si>
    <t>Janhvi Kurkure</t>
  </si>
  <si>
    <t>Cloud &amp; DevOps Engineer</t>
  </si>
  <si>
    <t>Data Engineer &amp; AI ML</t>
  </si>
  <si>
    <t xml:space="preserve">Shriram Sabade </t>
  </si>
  <si>
    <t xml:space="preserve">Cloud &amp; DevOps Engineer </t>
  </si>
  <si>
    <t>Anmol Purohit</t>
  </si>
  <si>
    <t>Network Security Engineer</t>
  </si>
  <si>
    <t>Software Developer Engineer</t>
  </si>
  <si>
    <t>schedule on 3rd jan</t>
  </si>
  <si>
    <t xml:space="preserve">Name </t>
  </si>
  <si>
    <t>Advantages of Data &amp; AI Governance</t>
  </si>
  <si>
    <t>Not Started</t>
  </si>
  <si>
    <t xml:space="preserve">Databricks Certified Machine Learning Professional </t>
  </si>
  <si>
    <t>Databricks Certified Associate Developer for Apache Spark</t>
  </si>
  <si>
    <t>Resource Type</t>
  </si>
  <si>
    <t>Course Name</t>
  </si>
  <si>
    <t>Udemy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</si>
</sst>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mm/dd/yy;@"/>
  </numFmts>
  <fonts count="16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252424"/>
      <name val="Segoe UI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16325C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2" fillId="0" borderId="2" xfId="1" applyBorder="1"/>
    <xf numFmtId="0" fontId="5" fillId="0" borderId="0" xfId="0" applyFont="1"/>
    <xf numFmtId="0" fontId="3" fillId="0" borderId="0" xfId="0" applyFont="1"/>
    <xf numFmtId="164" fontId="0" fillId="0" borderId="0" xfId="0" applyNumberFormat="1"/>
    <xf numFmtId="0" fontId="6" fillId="0" borderId="3" xfId="0" applyFont="1" applyBorder="1" applyAlignment="1">
      <alignment wrapText="1"/>
    </xf>
    <xf numFmtId="0" fontId="0" fillId="0" borderId="3" xfId="0" applyBorder="1"/>
    <xf numFmtId="164" fontId="0" fillId="0" borderId="3" xfId="0" applyNumberFormat="1" applyBorder="1"/>
    <xf numFmtId="0" fontId="3" fillId="0" borderId="3" xfId="0" applyFont="1" applyBorder="1"/>
    <xf numFmtId="164" fontId="3" fillId="0" borderId="3" xfId="0" applyNumberFormat="1" applyFont="1" applyBorder="1"/>
    <xf numFmtId="0" fontId="5" fillId="0" borderId="3" xfId="0" applyFont="1" applyBorder="1"/>
    <xf numFmtId="0" fontId="3" fillId="0" borderId="4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1" xfId="0" applyFont="1" applyBorder="1" applyAlignment="1">
      <alignment wrapText="1"/>
    </xf>
    <xf numFmtId="0" fontId="2" fillId="0" borderId="3" xfId="1" applyBorder="1"/>
    <xf numFmtId="0" fontId="0" fillId="0" borderId="7" xfId="0" applyBorder="1"/>
    <xf numFmtId="0" fontId="0" fillId="0" borderId="8" xfId="0" applyBorder="1"/>
    <xf numFmtId="164" fontId="0" fillId="0" borderId="7" xfId="0" applyNumberFormat="1" applyBorder="1"/>
    <xf numFmtId="0" fontId="7" fillId="0" borderId="3" xfId="0" applyFont="1" applyBorder="1"/>
    <xf numFmtId="0" fontId="3" fillId="0" borderId="0" xfId="0" applyFont="1" applyAlignment="1">
      <alignment horizontal="right" vertical="center"/>
    </xf>
    <xf numFmtId="164" fontId="3" fillId="0" borderId="0" xfId="0" applyNumberFormat="1" applyFont="1"/>
    <xf numFmtId="9" fontId="0" fillId="0" borderId="0" xfId="0" applyNumberFormat="1"/>
    <xf numFmtId="0" fontId="2" fillId="0" borderId="3" xfId="1" applyBorder="1" applyAlignment="1">
      <alignment wrapText="1"/>
    </xf>
    <xf numFmtId="0" fontId="2" fillId="2" borderId="1" xfId="1" applyFill="1" applyBorder="1"/>
    <xf numFmtId="164" fontId="0" fillId="0" borderId="3" xfId="0" applyNumberFormat="1" applyBorder="1" applyAlignment="1">
      <alignment horizontal="right"/>
    </xf>
    <xf numFmtId="0" fontId="2" fillId="0" borderId="9" xfId="1" applyBorder="1"/>
    <xf numFmtId="0" fontId="0" fillId="0" borderId="9" xfId="0" applyBorder="1"/>
    <xf numFmtId="0" fontId="0" fillId="0" borderId="10" xfId="0" applyBorder="1"/>
    <xf numFmtId="0" fontId="2" fillId="2" borderId="9" xfId="1" applyFill="1" applyBorder="1"/>
    <xf numFmtId="0" fontId="5" fillId="0" borderId="9" xfId="0" applyFont="1" applyBorder="1"/>
    <xf numFmtId="41" fontId="0" fillId="0" borderId="0" xfId="0" applyNumberFormat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7" xfId="1" applyBorder="1"/>
    <xf numFmtId="0" fontId="0" fillId="0" borderId="3" xfId="0" applyBorder="1" applyAlignment="1">
      <alignment horizontal="center" vertical="center"/>
    </xf>
    <xf numFmtId="0" fontId="3" fillId="0" borderId="7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12" xfId="0" applyNumberFormat="1" applyBorder="1"/>
    <xf numFmtId="0" fontId="0" fillId="0" borderId="14" xfId="0" applyBorder="1"/>
    <xf numFmtId="0" fontId="6" fillId="3" borderId="1" xfId="0" applyFont="1" applyFill="1" applyBorder="1" applyAlignment="1">
      <alignment wrapText="1"/>
    </xf>
    <xf numFmtId="0" fontId="8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8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/>
    </xf>
    <xf numFmtId="0" fontId="6" fillId="0" borderId="6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0" fillId="0" borderId="3" xfId="0" applyBorder="1" applyAlignment="1">
      <alignment vertical="center" wrapText="1"/>
    </xf>
    <xf numFmtId="0" fontId="2" fillId="0" borderId="10" xfId="1" applyBorder="1" applyAlignment="1">
      <alignment wrapText="1"/>
    </xf>
    <xf numFmtId="0" fontId="2" fillId="3" borderId="3" xfId="1" applyFill="1" applyBorder="1"/>
    <xf numFmtId="0" fontId="2" fillId="3" borderId="3" xfId="1" applyFill="1" applyBorder="1" applyAlignment="1">
      <alignment wrapText="1"/>
    </xf>
    <xf numFmtId="0" fontId="2" fillId="0" borderId="9" xfId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/>
    </xf>
    <xf numFmtId="0" fontId="12" fillId="0" borderId="0" xfId="0" applyFont="1"/>
    <xf numFmtId="0" fontId="5" fillId="0" borderId="6" xfId="0" applyFont="1" applyBorder="1"/>
    <xf numFmtId="0" fontId="5" fillId="0" borderId="8" xfId="0" applyFont="1" applyBorder="1"/>
    <xf numFmtId="0" fontId="0" fillId="0" borderId="15" xfId="0" applyBorder="1"/>
    <xf numFmtId="0" fontId="2" fillId="0" borderId="0" xfId="1"/>
    <xf numFmtId="0" fontId="2" fillId="2" borderId="7" xfId="1" applyFill="1" applyBorder="1"/>
    <xf numFmtId="0" fontId="0" fillId="0" borderId="7" xfId="0" applyBorder="1" applyAlignment="1">
      <alignment horizontal="center" vertical="center"/>
    </xf>
    <xf numFmtId="0" fontId="0" fillId="0" borderId="16" xfId="0" applyBorder="1"/>
    <xf numFmtId="0" fontId="2" fillId="2" borderId="3" xfId="1" applyFill="1" applyBorder="1"/>
    <xf numFmtId="0" fontId="6" fillId="0" borderId="14" xfId="0" applyFont="1" applyBorder="1" applyAlignment="1">
      <alignment wrapText="1"/>
    </xf>
    <xf numFmtId="0" fontId="2" fillId="0" borderId="14" xfId="1" applyFill="1" applyBorder="1" applyAlignment="1">
      <alignment wrapText="1"/>
    </xf>
    <xf numFmtId="0" fontId="0" fillId="0" borderId="14" xfId="0" applyBorder="1" applyAlignment="1">
      <alignment horizontal="center" vertical="center"/>
    </xf>
    <xf numFmtId="164" fontId="0" fillId="0" borderId="14" xfId="0" applyNumberFormat="1" applyBorder="1"/>
    <xf numFmtId="0" fontId="2" fillId="0" borderId="0" xfId="1" applyFill="1" applyBorder="1" applyAlignment="1">
      <alignment wrapText="1"/>
    </xf>
    <xf numFmtId="0" fontId="3" fillId="0" borderId="14" xfId="0" applyFont="1" applyBorder="1"/>
    <xf numFmtId="0" fontId="1" fillId="0" borderId="3" xfId="2" applyBorder="1"/>
    <xf numFmtId="0" fontId="1" fillId="0" borderId="0" xfId="2"/>
    <xf numFmtId="0" fontId="14" fillId="0" borderId="3" xfId="2" applyFont="1" applyBorder="1"/>
    <xf numFmtId="0" fontId="15" fillId="4" borderId="3" xfId="2" applyFont="1" applyFill="1" applyBorder="1"/>
    <xf numFmtId="14" fontId="15" fillId="4" borderId="3" xfId="2" applyNumberFormat="1" applyFont="1" applyFill="1" applyBorder="1"/>
    <xf numFmtId="0" fontId="15" fillId="4" borderId="3" xfId="2" applyFont="1" applyFill="1" applyBorder="1" applyAlignment="1">
      <alignment wrapText="1"/>
    </xf>
    <xf numFmtId="0" fontId="15" fillId="4" borderId="3" xfId="2" quotePrefix="1" applyFont="1" applyFill="1" applyBorder="1"/>
    <xf numFmtId="0" fontId="13" fillId="0" borderId="3" xfId="2" applyFont="1" applyBorder="1"/>
    <xf numFmtId="0" fontId="6" fillId="0" borderId="7" xfId="0" applyFont="1" applyBorder="1" applyAlignment="1">
      <alignment wrapText="1"/>
    </xf>
    <xf numFmtId="0" fontId="2" fillId="0" borderId="1" xfId="1" applyFill="1" applyBorder="1" applyAlignment="1">
      <alignment wrapText="1"/>
    </xf>
    <xf numFmtId="0" fontId="2" fillId="0" borderId="14" xfId="1" applyBorder="1" applyAlignment="1">
      <alignment wrapText="1"/>
    </xf>
    <xf numFmtId="0" fontId="2" fillId="0" borderId="3" xfId="1" applyFill="1" applyBorder="1" applyAlignment="1">
      <alignment wrapText="1"/>
    </xf>
    <xf numFmtId="0" fontId="2" fillId="0" borderId="14" xfId="1" applyBorder="1"/>
    <xf numFmtId="0" fontId="5" fillId="0" borderId="14" xfId="0" applyFont="1" applyBorder="1"/>
    <xf numFmtId="14" fontId="5" fillId="0" borderId="3" xfId="0" applyNumberFormat="1" applyFont="1" applyBorder="1"/>
    <xf numFmtId="14" fontId="5" fillId="0" borderId="7" xfId="0" applyNumberFormat="1" applyFont="1" applyBorder="1"/>
    <xf numFmtId="14" fontId="5" fillId="0" borderId="12" xfId="0" applyNumberFormat="1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/>
    </xf>
  </cellXfs>
  <cellStyles count="3">
    <cellStyle name="Hyperlink" xfId="1" builtinId="8"/>
    <cellStyle name="Normal" xfId="0" builtinId="0"/>
    <cellStyle name="Normal 2" xfId="2" xr:uid="{F533A28C-E21A-40F7-9179-D7C14FBEC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nkit.Parekh@intuitive.cloud" TargetMode="External"/><Relationship Id="rId117" Type="http://schemas.openxmlformats.org/officeDocument/2006/relationships/hyperlink" Target="mailto:Saurabh.Singh@intuitive.AI" TargetMode="External"/><Relationship Id="rId21" Type="http://schemas.openxmlformats.org/officeDocument/2006/relationships/hyperlink" Target="mailto:Anurag.Kapatia@intuitive.cloud" TargetMode="External"/><Relationship Id="rId42" Type="http://schemas.openxmlformats.org/officeDocument/2006/relationships/hyperlink" Target="mailto:Abirbhaba.Sahu@intuitive.cloud" TargetMode="External"/><Relationship Id="rId47" Type="http://schemas.openxmlformats.org/officeDocument/2006/relationships/hyperlink" Target="mailto:Anil.Amara@intuitive.cloud" TargetMode="External"/><Relationship Id="rId63" Type="http://schemas.openxmlformats.org/officeDocument/2006/relationships/hyperlink" Target="mailto:Parth.Vadodaria@intuitive.AI" TargetMode="External"/><Relationship Id="rId68" Type="http://schemas.openxmlformats.org/officeDocument/2006/relationships/hyperlink" Target="mailto:Pundrik.Shayta@intuitive.AI" TargetMode="External"/><Relationship Id="rId84" Type="http://schemas.openxmlformats.org/officeDocument/2006/relationships/hyperlink" Target="mailto:Harsh.Kharwar@intuitive.AI" TargetMode="External"/><Relationship Id="rId89" Type="http://schemas.openxmlformats.org/officeDocument/2006/relationships/hyperlink" Target="mailto:Jigarkumar.Bhoye@intuitive.AI" TargetMode="External"/><Relationship Id="rId112" Type="http://schemas.openxmlformats.org/officeDocument/2006/relationships/hyperlink" Target="mailto:Debrup.Mondal@intuitive.AI" TargetMode="External"/><Relationship Id="rId16" Type="http://schemas.openxmlformats.org/officeDocument/2006/relationships/hyperlink" Target="mailto:sharath.rao@intuitive.cloud" TargetMode="External"/><Relationship Id="rId107" Type="http://schemas.openxmlformats.org/officeDocument/2006/relationships/hyperlink" Target="mailto:Abdul.Haleem@intuitive.AI" TargetMode="External"/><Relationship Id="rId11" Type="http://schemas.openxmlformats.org/officeDocument/2006/relationships/hyperlink" Target="mailto:Meghana.Ganu@intuitive.cloud" TargetMode="External"/><Relationship Id="rId32" Type="http://schemas.openxmlformats.org/officeDocument/2006/relationships/hyperlink" Target="mailto:Kelvi.Manavadaria@intuitive.cloud" TargetMode="External"/><Relationship Id="rId37" Type="http://schemas.openxmlformats.org/officeDocument/2006/relationships/hyperlink" Target="mailto:nirav.jadav@intuitive.cloud" TargetMode="External"/><Relationship Id="rId53" Type="http://schemas.openxmlformats.org/officeDocument/2006/relationships/hyperlink" Target="mailto:Raja.Putturu@intuitive.cloud" TargetMode="External"/><Relationship Id="rId58" Type="http://schemas.openxmlformats.org/officeDocument/2006/relationships/hyperlink" Target="mailto:aryan.vasudev@Intuitive.AI" TargetMode="External"/><Relationship Id="rId74" Type="http://schemas.openxmlformats.org/officeDocument/2006/relationships/hyperlink" Target="mailto:Srushti.Moghe@intuitive.AI" TargetMode="External"/><Relationship Id="rId79" Type="http://schemas.openxmlformats.org/officeDocument/2006/relationships/hyperlink" Target="mailto:Pearl.Jotania@intuitive.AI" TargetMode="External"/><Relationship Id="rId102" Type="http://schemas.openxmlformats.org/officeDocument/2006/relationships/hyperlink" Target="mailto:Yash.Jain@intuitive.AI" TargetMode="External"/><Relationship Id="rId5" Type="http://schemas.openxmlformats.org/officeDocument/2006/relationships/hyperlink" Target="mailto:Sakshi.Zalavadia@intuitive.cloud" TargetMode="External"/><Relationship Id="rId90" Type="http://schemas.openxmlformats.org/officeDocument/2006/relationships/hyperlink" Target="mailto:Rahul.Morabiya@intuitive.AI" TargetMode="External"/><Relationship Id="rId95" Type="http://schemas.openxmlformats.org/officeDocument/2006/relationships/hyperlink" Target="mailto:Vasu.Bhimani@intuitive.AI" TargetMode="External"/><Relationship Id="rId22" Type="http://schemas.openxmlformats.org/officeDocument/2006/relationships/hyperlink" Target="mailto:sachin.nakhate@intuitive.cloud" TargetMode="External"/><Relationship Id="rId27" Type="http://schemas.openxmlformats.org/officeDocument/2006/relationships/hyperlink" Target="mailto:Apratim.Paul@intuitive.cloud" TargetMode="External"/><Relationship Id="rId43" Type="http://schemas.openxmlformats.org/officeDocument/2006/relationships/hyperlink" Target="mailto:Lakshminarayanan.Thirusangu@intuitive.cloud" TargetMode="External"/><Relationship Id="rId48" Type="http://schemas.openxmlformats.org/officeDocument/2006/relationships/hyperlink" Target="mailto:Ranjit.Routhu@intuitive.cloud" TargetMode="External"/><Relationship Id="rId64" Type="http://schemas.openxmlformats.org/officeDocument/2006/relationships/hyperlink" Target="mailto:Bhumi.Patel@intuitive.AI" TargetMode="External"/><Relationship Id="rId69" Type="http://schemas.openxmlformats.org/officeDocument/2006/relationships/hyperlink" Target="mailto:Rushi.Kardani@intuitive.AI" TargetMode="External"/><Relationship Id="rId113" Type="http://schemas.openxmlformats.org/officeDocument/2006/relationships/hyperlink" Target="mailto:Amit.Singh@Intuitive.AI" TargetMode="External"/><Relationship Id="rId118" Type="http://schemas.openxmlformats.org/officeDocument/2006/relationships/hyperlink" Target="mailto:ashish.dudeja@intuitive.ai" TargetMode="External"/><Relationship Id="rId80" Type="http://schemas.openxmlformats.org/officeDocument/2006/relationships/hyperlink" Target="mailto:Ayan.Abbas@intuitive.AI" TargetMode="External"/><Relationship Id="rId85" Type="http://schemas.openxmlformats.org/officeDocument/2006/relationships/hyperlink" Target="mailto:Chaitanya.Baweja@intuitive.AI" TargetMode="External"/><Relationship Id="rId12" Type="http://schemas.openxmlformats.org/officeDocument/2006/relationships/hyperlink" Target="mailto:Hetul.Patel@intuitive.cloud" TargetMode="External"/><Relationship Id="rId17" Type="http://schemas.openxmlformats.org/officeDocument/2006/relationships/hyperlink" Target="mailto:vishal.kanade@intuitive.cloud" TargetMode="External"/><Relationship Id="rId33" Type="http://schemas.openxmlformats.org/officeDocument/2006/relationships/hyperlink" Target="mailto:Jenish.Kotecha@intuitive.cloud" TargetMode="External"/><Relationship Id="rId38" Type="http://schemas.openxmlformats.org/officeDocument/2006/relationships/hyperlink" Target="mailto:Raja.Bandaru@intuitive.cloud" TargetMode="External"/><Relationship Id="rId59" Type="http://schemas.openxmlformats.org/officeDocument/2006/relationships/hyperlink" Target="mailto:Het.Shah@intuitive.AI" TargetMode="External"/><Relationship Id="rId103" Type="http://schemas.openxmlformats.org/officeDocument/2006/relationships/hyperlink" Target="mailto:Faisal.Zamir@intuitive.AI" TargetMode="External"/><Relationship Id="rId108" Type="http://schemas.openxmlformats.org/officeDocument/2006/relationships/hyperlink" Target="mailto:Shabhana.Mohammed@intuitive.AI" TargetMode="External"/><Relationship Id="rId54" Type="http://schemas.openxmlformats.org/officeDocument/2006/relationships/hyperlink" Target="mailto:Daljit.Singh@intuitive.cloud" TargetMode="External"/><Relationship Id="rId70" Type="http://schemas.openxmlformats.org/officeDocument/2006/relationships/hyperlink" Target="mailto:Shantanu.Hiwrale@intuitive.AI" TargetMode="External"/><Relationship Id="rId75" Type="http://schemas.openxmlformats.org/officeDocument/2006/relationships/hyperlink" Target="mailto:suyash.srivastava@Intuitive.AI" TargetMode="External"/><Relationship Id="rId91" Type="http://schemas.openxmlformats.org/officeDocument/2006/relationships/hyperlink" Target="mailto:Dhruv.Maradiya@intuitive.AI" TargetMode="External"/><Relationship Id="rId96" Type="http://schemas.openxmlformats.org/officeDocument/2006/relationships/hyperlink" Target="mailto:Sahal.Pathan@intuitive.AI" TargetMode="External"/><Relationship Id="rId1" Type="http://schemas.openxmlformats.org/officeDocument/2006/relationships/hyperlink" Target="mailto:piyush.jalan@intuitive.cloud" TargetMode="External"/><Relationship Id="rId6" Type="http://schemas.openxmlformats.org/officeDocument/2006/relationships/hyperlink" Target="mailto:Khushi.Carpenter@intuitive.cloud" TargetMode="External"/><Relationship Id="rId23" Type="http://schemas.openxmlformats.org/officeDocument/2006/relationships/hyperlink" Target="mailto:Keval.Hingu@intuitive.cloud" TargetMode="External"/><Relationship Id="rId28" Type="http://schemas.openxmlformats.org/officeDocument/2006/relationships/hyperlink" Target="mailto:Sathish.Devasenathypathy@intuitive.cloud" TargetMode="External"/><Relationship Id="rId49" Type="http://schemas.openxmlformats.org/officeDocument/2006/relationships/hyperlink" Target="mailto:Naveen.Athelly@intuitive.cloud" TargetMode="External"/><Relationship Id="rId114" Type="http://schemas.openxmlformats.org/officeDocument/2006/relationships/hyperlink" Target="mailto:Dennis.Andrews@Intuitive.AI" TargetMode="External"/><Relationship Id="rId119" Type="http://schemas.openxmlformats.org/officeDocument/2006/relationships/hyperlink" Target="mailto:deepak.garg@intuitive.cloud" TargetMode="External"/><Relationship Id="rId10" Type="http://schemas.openxmlformats.org/officeDocument/2006/relationships/hyperlink" Target="mailto:Aditya.Shukla@intuitive.cloud" TargetMode="External"/><Relationship Id="rId31" Type="http://schemas.openxmlformats.org/officeDocument/2006/relationships/hyperlink" Target="mailto:Sampat.Mohta@intuitive.cloud" TargetMode="External"/><Relationship Id="rId44" Type="http://schemas.openxmlformats.org/officeDocument/2006/relationships/hyperlink" Target="mailto:Deepak.Shrivastav@intuitive.cloud" TargetMode="External"/><Relationship Id="rId52" Type="http://schemas.openxmlformats.org/officeDocument/2006/relationships/hyperlink" Target="mailto:Imran.Khan@intuitive.cloud" TargetMode="External"/><Relationship Id="rId60" Type="http://schemas.openxmlformats.org/officeDocument/2006/relationships/hyperlink" Target="mailto:janhvi.kurkure@Intuitive.AI" TargetMode="External"/><Relationship Id="rId65" Type="http://schemas.openxmlformats.org/officeDocument/2006/relationships/hyperlink" Target="mailto:peter.turner@intuitive.ai" TargetMode="External"/><Relationship Id="rId73" Type="http://schemas.openxmlformats.org/officeDocument/2006/relationships/hyperlink" Target="mailto:Smit.Gandhi@intuitive.AI" TargetMode="External"/><Relationship Id="rId78" Type="http://schemas.openxmlformats.org/officeDocument/2006/relationships/hyperlink" Target="mailto:Tisha.Patel@intuitive.AI" TargetMode="External"/><Relationship Id="rId81" Type="http://schemas.openxmlformats.org/officeDocument/2006/relationships/hyperlink" Target="mailto:Vishnu.Burkhawala@intuitive.AI" TargetMode="External"/><Relationship Id="rId86" Type="http://schemas.openxmlformats.org/officeDocument/2006/relationships/hyperlink" Target="mailto:Gourab.Banerjee@intuitive.AI" TargetMode="External"/><Relationship Id="rId94" Type="http://schemas.openxmlformats.org/officeDocument/2006/relationships/hyperlink" Target="mailto:vineet.nair@intuitive.ai" TargetMode="External"/><Relationship Id="rId99" Type="http://schemas.openxmlformats.org/officeDocument/2006/relationships/hyperlink" Target="mailto:harshil.khamar@intuitive.ai" TargetMode="External"/><Relationship Id="rId101" Type="http://schemas.openxmlformats.org/officeDocument/2006/relationships/hyperlink" Target="mailto:priyanshu.gohil@intuitive.ai" TargetMode="External"/><Relationship Id="rId4" Type="http://schemas.openxmlformats.org/officeDocument/2006/relationships/hyperlink" Target="mailto:Saumil.Shah@intuitive.cloud" TargetMode="External"/><Relationship Id="rId9" Type="http://schemas.openxmlformats.org/officeDocument/2006/relationships/hyperlink" Target="mailto:Darshan.Shah@intuitive.cloud" TargetMode="External"/><Relationship Id="rId13" Type="http://schemas.openxmlformats.org/officeDocument/2006/relationships/hyperlink" Target="mailto:Prem.Gandhi@intuitive.cloud" TargetMode="External"/><Relationship Id="rId18" Type="http://schemas.openxmlformats.org/officeDocument/2006/relationships/hyperlink" Target="mailto:Gaurav.Gangwar@intuitive.ai" TargetMode="External"/><Relationship Id="rId39" Type="http://schemas.openxmlformats.org/officeDocument/2006/relationships/hyperlink" Target="mailto:Ravisekhara.Reddy@intuitive.cloud" TargetMode="External"/><Relationship Id="rId109" Type="http://schemas.openxmlformats.org/officeDocument/2006/relationships/hyperlink" Target="mailto:Tulika.Aggarwal@intuitive.AI" TargetMode="External"/><Relationship Id="rId34" Type="http://schemas.openxmlformats.org/officeDocument/2006/relationships/hyperlink" Target="mailto:Vivek.Mohan@intuitive.cloud" TargetMode="External"/><Relationship Id="rId50" Type="http://schemas.openxmlformats.org/officeDocument/2006/relationships/hyperlink" Target="mailto:rajasankar.s@intuitive.cloud" TargetMode="External"/><Relationship Id="rId55" Type="http://schemas.openxmlformats.org/officeDocument/2006/relationships/hyperlink" Target="mailto:dilliprathapmaddirala@gmail.com" TargetMode="External"/><Relationship Id="rId76" Type="http://schemas.openxmlformats.org/officeDocument/2006/relationships/hyperlink" Target="mailto:Vishal.Mehta@intuitive.AI" TargetMode="External"/><Relationship Id="rId97" Type="http://schemas.openxmlformats.org/officeDocument/2006/relationships/hyperlink" Target="mailto:bhagesh.puri@intuitive.ai" TargetMode="External"/><Relationship Id="rId104" Type="http://schemas.openxmlformats.org/officeDocument/2006/relationships/hyperlink" Target="mailto:Faisal.Zamir@intuitive.AI" TargetMode="External"/><Relationship Id="rId120" Type="http://schemas.openxmlformats.org/officeDocument/2006/relationships/printerSettings" Target="../printerSettings/printerSettings1.bin"/><Relationship Id="rId7" Type="http://schemas.openxmlformats.org/officeDocument/2006/relationships/hyperlink" Target="mailto:devangi.goswami@intuitive.cloud" TargetMode="External"/><Relationship Id="rId71" Type="http://schemas.openxmlformats.org/officeDocument/2006/relationships/hyperlink" Target="mailto:Shourya.Nahar@intuitive.AI" TargetMode="External"/><Relationship Id="rId92" Type="http://schemas.openxmlformats.org/officeDocument/2006/relationships/hyperlink" Target="mailto:Kenil.Sarang@intuitive.AI" TargetMode="External"/><Relationship Id="rId2" Type="http://schemas.openxmlformats.org/officeDocument/2006/relationships/hyperlink" Target="mailto:Lucian.Cimpeanu@intuitive.cloud" TargetMode="External"/><Relationship Id="rId29" Type="http://schemas.openxmlformats.org/officeDocument/2006/relationships/hyperlink" Target="mailto:vivek.sharma@intuitive.cloud" TargetMode="External"/><Relationship Id="rId24" Type="http://schemas.openxmlformats.org/officeDocument/2006/relationships/hyperlink" Target="mailto:arnob.dey@intuitive.cloud" TargetMode="External"/><Relationship Id="rId40" Type="http://schemas.openxmlformats.org/officeDocument/2006/relationships/hyperlink" Target="mailto:Rajesh.Srinivasan@intuitive.cloud" TargetMode="External"/><Relationship Id="rId45" Type="http://schemas.openxmlformats.org/officeDocument/2006/relationships/hyperlink" Target="mailto:Aziz.Saidi@intuitive.cloud" TargetMode="External"/><Relationship Id="rId66" Type="http://schemas.openxmlformats.org/officeDocument/2006/relationships/hyperlink" Target="mailto:poojan.soni@intuitive.ai" TargetMode="External"/><Relationship Id="rId87" Type="http://schemas.openxmlformats.org/officeDocument/2006/relationships/hyperlink" Target="mailto:Yuktha.Pulukkul@intuitive.AI" TargetMode="External"/><Relationship Id="rId110" Type="http://schemas.openxmlformats.org/officeDocument/2006/relationships/hyperlink" Target="mailto:Rajat.Goel@intuitive.AI" TargetMode="External"/><Relationship Id="rId115" Type="http://schemas.openxmlformats.org/officeDocument/2006/relationships/hyperlink" Target="mailto:Vijayanagaram.Ashok@intuitive.AI" TargetMode="External"/><Relationship Id="rId61" Type="http://schemas.openxmlformats.org/officeDocument/2006/relationships/hyperlink" Target="mailto:Mahesh.Sutar@intuitive.AI" TargetMode="External"/><Relationship Id="rId82" Type="http://schemas.openxmlformats.org/officeDocument/2006/relationships/hyperlink" Target="mailto:Sumit.Mishra@intuitive.AI" TargetMode="External"/><Relationship Id="rId19" Type="http://schemas.openxmlformats.org/officeDocument/2006/relationships/hyperlink" Target="mailto:muskan.rawat@intuitive.cloud" TargetMode="External"/><Relationship Id="rId14" Type="http://schemas.openxmlformats.org/officeDocument/2006/relationships/hyperlink" Target="mailto:Darshan.Kanade@intuitive.cloud" TargetMode="External"/><Relationship Id="rId30" Type="http://schemas.openxmlformats.org/officeDocument/2006/relationships/hyperlink" Target="mailto:maksud.beg@intuitive.cloud" TargetMode="External"/><Relationship Id="rId35" Type="http://schemas.openxmlformats.org/officeDocument/2006/relationships/hyperlink" Target="mailto:Sachit.Desai@intuitive.cloud" TargetMode="External"/><Relationship Id="rId56" Type="http://schemas.openxmlformats.org/officeDocument/2006/relationships/hyperlink" Target="mailto:Sachin.B@intuitive.cloud" TargetMode="External"/><Relationship Id="rId77" Type="http://schemas.openxmlformats.org/officeDocument/2006/relationships/hyperlink" Target="mailto:Vraj.Modi@intuitive.AI" TargetMode="External"/><Relationship Id="rId100" Type="http://schemas.openxmlformats.org/officeDocument/2006/relationships/hyperlink" Target="mailto:manan.goradiya@intuitive.ai" TargetMode="External"/><Relationship Id="rId105" Type="http://schemas.openxmlformats.org/officeDocument/2006/relationships/hyperlink" Target="mailto:karuna.katikala@intuitive.ai" TargetMode="External"/><Relationship Id="rId8" Type="http://schemas.openxmlformats.org/officeDocument/2006/relationships/hyperlink" Target="mailto:Darshan.Bhavsar@intuitive.cloud" TargetMode="External"/><Relationship Id="rId51" Type="http://schemas.openxmlformats.org/officeDocument/2006/relationships/hyperlink" Target="mailto:Kumar.Aryan@intuitive.cloud" TargetMode="External"/><Relationship Id="rId72" Type="http://schemas.openxmlformats.org/officeDocument/2006/relationships/hyperlink" Target="mailto:Shriram.Sabade@intuitive.AI" TargetMode="External"/><Relationship Id="rId93" Type="http://schemas.openxmlformats.org/officeDocument/2006/relationships/hyperlink" Target="mailto:shaily.shah@intuitive.ai" TargetMode="External"/><Relationship Id="rId98" Type="http://schemas.openxmlformats.org/officeDocument/2006/relationships/hyperlink" Target="mailto:gaurav.suthar@intuitive.ai" TargetMode="External"/><Relationship Id="rId3" Type="http://schemas.openxmlformats.org/officeDocument/2006/relationships/hyperlink" Target="mailto:Ravindra.Malpute@intuitive.cloud" TargetMode="External"/><Relationship Id="rId25" Type="http://schemas.openxmlformats.org/officeDocument/2006/relationships/hyperlink" Target="mailto:dinesh.verma@intuitive.cloud" TargetMode="External"/><Relationship Id="rId46" Type="http://schemas.openxmlformats.org/officeDocument/2006/relationships/hyperlink" Target="mailto:KarthikRaja.Thangadurai@intuitive.cloud" TargetMode="External"/><Relationship Id="rId67" Type="http://schemas.openxmlformats.org/officeDocument/2006/relationships/hyperlink" Target="mailto:Prachi.Desai@intuitive.AI" TargetMode="External"/><Relationship Id="rId116" Type="http://schemas.openxmlformats.org/officeDocument/2006/relationships/hyperlink" Target="mailto:Uday.Mandava@intuitive.AI" TargetMode="External"/><Relationship Id="rId20" Type="http://schemas.openxmlformats.org/officeDocument/2006/relationships/hyperlink" Target="mailto:Sansriti.Ishwar@intuitive.cloud" TargetMode="External"/><Relationship Id="rId41" Type="http://schemas.openxmlformats.org/officeDocument/2006/relationships/hyperlink" Target="mailto:Innocent.Musa@intuitive.cloud" TargetMode="External"/><Relationship Id="rId62" Type="http://schemas.openxmlformats.org/officeDocument/2006/relationships/hyperlink" Target="mailto:Malhar.Prajapati@intuitive.AI" TargetMode="External"/><Relationship Id="rId83" Type="http://schemas.openxmlformats.org/officeDocument/2006/relationships/hyperlink" Target="mailto:Garret.Fernandez@intuitive.AI" TargetMode="External"/><Relationship Id="rId88" Type="http://schemas.openxmlformats.org/officeDocument/2006/relationships/hyperlink" Target="mailto:Darshan.Rajyaguru@intuitive.AI" TargetMode="External"/><Relationship Id="rId111" Type="http://schemas.openxmlformats.org/officeDocument/2006/relationships/hyperlink" Target="mailto:Geethu.Raj@intuitive.AI" TargetMode="External"/><Relationship Id="rId15" Type="http://schemas.openxmlformats.org/officeDocument/2006/relationships/hyperlink" Target="mailto:Adesh.Abhang@intuitive.cloud" TargetMode="External"/><Relationship Id="rId36" Type="http://schemas.openxmlformats.org/officeDocument/2006/relationships/hyperlink" Target="mailto:Venkata.Gorle@intuitive.cloud" TargetMode="External"/><Relationship Id="rId57" Type="http://schemas.openxmlformats.org/officeDocument/2006/relationships/hyperlink" Target="mailto:Aditya.Desai@intuitive.AI" TargetMode="External"/><Relationship Id="rId106" Type="http://schemas.openxmlformats.org/officeDocument/2006/relationships/hyperlink" Target="mailto:karuna.katikala@intuitive.ai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muskan.rawat@intuitive.cloud" TargetMode="External"/><Relationship Id="rId18" Type="http://schemas.openxmlformats.org/officeDocument/2006/relationships/hyperlink" Target="mailto:Meghana.Ganu@intuitive.cloud" TargetMode="External"/><Relationship Id="rId26" Type="http://schemas.openxmlformats.org/officeDocument/2006/relationships/hyperlink" Target="mailto:Mahesh.Sutar@intuitive.AI" TargetMode="External"/><Relationship Id="rId3" Type="http://schemas.openxmlformats.org/officeDocument/2006/relationships/hyperlink" Target="mailto:dinesh.verma@intuitive.cloud" TargetMode="External"/><Relationship Id="rId21" Type="http://schemas.openxmlformats.org/officeDocument/2006/relationships/hyperlink" Target="mailto:Sachit.Desai@intuitive.cloud" TargetMode="External"/><Relationship Id="rId7" Type="http://schemas.openxmlformats.org/officeDocument/2006/relationships/hyperlink" Target="mailto:Aditya.Shukla@intuitive.cloud" TargetMode="External"/><Relationship Id="rId12" Type="http://schemas.openxmlformats.org/officeDocument/2006/relationships/hyperlink" Target="mailto:Khushi.Carpenter@intuitive.cloud" TargetMode="External"/><Relationship Id="rId17" Type="http://schemas.openxmlformats.org/officeDocument/2006/relationships/hyperlink" Target="mailto:Darshan.Shah@intuitive.cloud" TargetMode="External"/><Relationship Id="rId25" Type="http://schemas.openxmlformats.org/officeDocument/2006/relationships/hyperlink" Target="mailto:deepak.garg@intuitive.cloud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mailto:Prem.Gandhi@intuitive.cloud" TargetMode="External"/><Relationship Id="rId16" Type="http://schemas.openxmlformats.org/officeDocument/2006/relationships/hyperlink" Target="mailto:Sathish.Devasenathypathy@intuitive.cloud" TargetMode="External"/><Relationship Id="rId20" Type="http://schemas.openxmlformats.org/officeDocument/2006/relationships/hyperlink" Target="mailto:Adesh.Abhang@intuitive.cloud" TargetMode="External"/><Relationship Id="rId29" Type="http://schemas.openxmlformats.org/officeDocument/2006/relationships/hyperlink" Target="mailto:sharath.rao@intuitive.cloud" TargetMode="External"/><Relationship Id="rId1" Type="http://schemas.openxmlformats.org/officeDocument/2006/relationships/hyperlink" Target="mailto:Keval.Hingu@intuitive.cloud" TargetMode="External"/><Relationship Id="rId6" Type="http://schemas.openxmlformats.org/officeDocument/2006/relationships/hyperlink" Target="mailto:Darshan.Bhavsar@intuitive.cloud" TargetMode="External"/><Relationship Id="rId11" Type="http://schemas.openxmlformats.org/officeDocument/2006/relationships/hyperlink" Target="mailto:ashish.dudeja@intuitive.ai" TargetMode="External"/><Relationship Id="rId24" Type="http://schemas.openxmlformats.org/officeDocument/2006/relationships/hyperlink" Target="mailto:peter.turner@intuitive.ai" TargetMode="External"/><Relationship Id="rId32" Type="http://schemas.openxmlformats.org/officeDocument/2006/relationships/hyperlink" Target="mailto:Hetul.Patel@intuitive.cloud" TargetMode="External"/><Relationship Id="rId5" Type="http://schemas.openxmlformats.org/officeDocument/2006/relationships/hyperlink" Target="mailto:Saumil.Shah@intuitive.cloud" TargetMode="External"/><Relationship Id="rId15" Type="http://schemas.openxmlformats.org/officeDocument/2006/relationships/hyperlink" Target="mailto:Sansriti.Ishwar@intuitive.cloud" TargetMode="External"/><Relationship Id="rId23" Type="http://schemas.openxmlformats.org/officeDocument/2006/relationships/hyperlink" Target="mailto:nirav.jadav@intuitive.cloud" TargetMode="External"/><Relationship Id="rId28" Type="http://schemas.openxmlformats.org/officeDocument/2006/relationships/hyperlink" Target="mailto:poojan.soni@intuitive.ai" TargetMode="External"/><Relationship Id="rId10" Type="http://schemas.openxmlformats.org/officeDocument/2006/relationships/hyperlink" Target="mailto:devangi.goswami@intuitive.cloud" TargetMode="External"/><Relationship Id="rId19" Type="http://schemas.openxmlformats.org/officeDocument/2006/relationships/hyperlink" Target="mailto:Darshan.Kanade@intuitive.cloud" TargetMode="External"/><Relationship Id="rId31" Type="http://schemas.openxmlformats.org/officeDocument/2006/relationships/hyperlink" Target="mailto:karuna.katikala@intuitive.ai" TargetMode="External"/><Relationship Id="rId4" Type="http://schemas.openxmlformats.org/officeDocument/2006/relationships/hyperlink" Target="mailto:Ravindra.Malpute@intuitive.cloud" TargetMode="External"/><Relationship Id="rId9" Type="http://schemas.openxmlformats.org/officeDocument/2006/relationships/hyperlink" Target="mailto:sachin.nakhate@intuitive.cloud" TargetMode="External"/><Relationship Id="rId14" Type="http://schemas.openxmlformats.org/officeDocument/2006/relationships/hyperlink" Target="mailto:Sakshi.Zalavadia@intuitive.cloud" TargetMode="External"/><Relationship Id="rId22" Type="http://schemas.openxmlformats.org/officeDocument/2006/relationships/hyperlink" Target="mailto:Vivek.Mohan@intuitive.cloud" TargetMode="External"/><Relationship Id="rId27" Type="http://schemas.openxmlformats.org/officeDocument/2006/relationships/hyperlink" Target="mailto:Vishal.Mehta@intuitive.AI" TargetMode="External"/><Relationship Id="rId30" Type="http://schemas.openxmlformats.org/officeDocument/2006/relationships/hyperlink" Target="mailto:karuna.katikala@intuitive.ai" TargetMode="External"/><Relationship Id="rId8" Type="http://schemas.openxmlformats.org/officeDocument/2006/relationships/hyperlink" Target="mailto:Anurag.Kapatia@intuitive.clou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lisa.sikkema@intuitive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3AB2-E8A9-6D45-B11F-0558E35A23C0}">
  <sheetPr filterMode="1"/>
  <dimension ref="A1:P192"/>
  <sheetViews>
    <sheetView tabSelected="1" zoomScaleNormal="100" workbookViewId="0">
      <pane xSplit="1" ySplit="1" topLeftCell="D143" activePane="bottomRight" state="frozen"/>
      <selection pane="bottomRight" activeCell="H186" sqref="H186"/>
      <selection pane="bottomLeft" activeCell="A2" sqref="A2"/>
      <selection pane="topRight" activeCell="B1" sqref="B1"/>
    </sheetView>
  </sheetViews>
  <sheetFormatPr defaultColWidth="11" defaultRowHeight="15.95"/>
  <cols>
    <col min="1" max="1" width="28.5" bestFit="1" customWidth="1"/>
    <col min="2" max="2" width="38.125" customWidth="1"/>
    <col min="3" max="3" width="13.5" style="1" customWidth="1"/>
    <col min="4" max="4" width="45" bestFit="1" customWidth="1"/>
    <col min="5" max="5" width="26.5" hidden="1" customWidth="1"/>
    <col min="6" max="6" width="36" bestFit="1" customWidth="1"/>
    <col min="7" max="7" width="32.625" bestFit="1" customWidth="1"/>
    <col min="8" max="8" width="34.625" style="12" bestFit="1" customWidth="1"/>
    <col min="9" max="9" width="12.125" style="12" bestFit="1" customWidth="1"/>
    <col min="12" max="12" width="14.125" bestFit="1" customWidth="1"/>
    <col min="15" max="15" width="25.625" bestFit="1" customWidth="1"/>
  </cols>
  <sheetData>
    <row r="1" spans="1:16">
      <c r="A1" s="5" t="s">
        <v>0</v>
      </c>
      <c r="B1" s="5" t="s">
        <v>1</v>
      </c>
      <c r="C1" s="6" t="s">
        <v>2</v>
      </c>
      <c r="D1" s="5" t="s">
        <v>3</v>
      </c>
      <c r="E1" s="19" t="s">
        <v>4</v>
      </c>
      <c r="F1" s="16" t="s">
        <v>5</v>
      </c>
      <c r="G1" s="16" t="s">
        <v>6</v>
      </c>
      <c r="H1" s="17" t="s">
        <v>7</v>
      </c>
      <c r="I1" s="17" t="s">
        <v>8</v>
      </c>
      <c r="J1" s="16" t="s">
        <v>9</v>
      </c>
      <c r="K1" s="16" t="s">
        <v>10</v>
      </c>
      <c r="L1" s="16" t="s">
        <v>11</v>
      </c>
      <c r="M1" s="45" t="s">
        <v>12</v>
      </c>
      <c r="N1" s="84" t="s">
        <v>13</v>
      </c>
      <c r="O1" s="84" t="s">
        <v>14</v>
      </c>
    </row>
    <row r="2" spans="1:16">
      <c r="A2" s="2" t="s">
        <v>15</v>
      </c>
      <c r="B2" s="4" t="s">
        <v>16</v>
      </c>
      <c r="C2" s="7" t="s">
        <v>2</v>
      </c>
      <c r="D2" s="2" t="s">
        <v>17</v>
      </c>
      <c r="E2" s="20" t="s">
        <v>18</v>
      </c>
      <c r="F2" s="14" t="s">
        <v>19</v>
      </c>
      <c r="G2" s="18" t="s">
        <v>20</v>
      </c>
      <c r="H2" s="15">
        <v>45473</v>
      </c>
      <c r="I2" s="15">
        <v>45930</v>
      </c>
      <c r="J2" s="14" t="s">
        <v>9</v>
      </c>
      <c r="K2" s="14"/>
      <c r="L2" s="22"/>
      <c r="M2" s="14"/>
      <c r="O2" t="e">
        <f>VLOOKUP(B2,'From Databricks partner portal'!E:E,1,FALSE)</f>
        <v>#N/A</v>
      </c>
    </row>
    <row r="3" spans="1:16" hidden="1">
      <c r="A3" s="2" t="s">
        <v>21</v>
      </c>
      <c r="B3" s="4" t="s">
        <v>22</v>
      </c>
      <c r="C3" s="3" t="s">
        <v>23</v>
      </c>
      <c r="D3" s="2"/>
      <c r="E3" s="20"/>
      <c r="F3" s="14" t="s">
        <v>24</v>
      </c>
      <c r="G3" s="14" t="s">
        <v>24</v>
      </c>
      <c r="H3" s="15"/>
      <c r="I3" s="14"/>
      <c r="J3" s="14" t="s">
        <v>9</v>
      </c>
      <c r="K3" s="14"/>
      <c r="L3" s="22"/>
      <c r="M3" s="14"/>
      <c r="O3" t="e">
        <f>VLOOKUP(B3,'From Databricks partner portal'!E:E,1,FALSE)</f>
        <v>#N/A</v>
      </c>
    </row>
    <row r="4" spans="1:16">
      <c r="A4" s="2" t="s">
        <v>25</v>
      </c>
      <c r="B4" s="4" t="s">
        <v>26</v>
      </c>
      <c r="C4" s="7" t="s">
        <v>2</v>
      </c>
      <c r="D4" s="2" t="s">
        <v>27</v>
      </c>
      <c r="E4" s="20" t="s">
        <v>28</v>
      </c>
      <c r="F4" s="14" t="s">
        <v>29</v>
      </c>
      <c r="G4" s="18" t="s">
        <v>30</v>
      </c>
      <c r="H4" s="15">
        <v>45765</v>
      </c>
      <c r="I4" s="15">
        <v>45930</v>
      </c>
      <c r="J4" s="14" t="s">
        <v>9</v>
      </c>
      <c r="K4" s="14"/>
      <c r="L4" s="22"/>
      <c r="M4" s="14"/>
      <c r="O4" t="e">
        <f>VLOOKUP(B4,'From Databricks partner portal'!E:E,1,FALSE)</f>
        <v>#N/A</v>
      </c>
    </row>
    <row r="5" spans="1:16" hidden="1">
      <c r="A5" s="2" t="s">
        <v>31</v>
      </c>
      <c r="B5" s="4" t="s">
        <v>32</v>
      </c>
      <c r="C5" s="7" t="s">
        <v>2</v>
      </c>
      <c r="D5" s="2" t="s">
        <v>17</v>
      </c>
      <c r="E5" s="20"/>
      <c r="F5" s="14" t="s">
        <v>33</v>
      </c>
      <c r="G5" s="14" t="s">
        <v>33</v>
      </c>
      <c r="H5" s="15">
        <v>46006</v>
      </c>
      <c r="I5" s="15">
        <v>46006</v>
      </c>
      <c r="J5" s="14" t="s">
        <v>9</v>
      </c>
      <c r="K5" s="14"/>
      <c r="L5" s="22"/>
      <c r="M5" s="14"/>
      <c r="O5" t="str">
        <f>VLOOKUP(B5,'From Databricks partner portal'!E:E,1,FALSE)</f>
        <v>aditya.desai@intuitive.ai</v>
      </c>
    </row>
    <row r="6" spans="1:16">
      <c r="A6" s="2" t="s">
        <v>34</v>
      </c>
      <c r="B6" s="4" t="s">
        <v>35</v>
      </c>
      <c r="C6" s="7" t="s">
        <v>2</v>
      </c>
      <c r="D6" s="2" t="s">
        <v>36</v>
      </c>
      <c r="E6" s="20" t="s">
        <v>37</v>
      </c>
      <c r="F6" t="s">
        <v>38</v>
      </c>
      <c r="G6" s="14" t="s">
        <v>20</v>
      </c>
      <c r="H6" s="15">
        <v>45766</v>
      </c>
      <c r="I6" s="15">
        <v>45930</v>
      </c>
      <c r="J6" s="14" t="s">
        <v>9</v>
      </c>
      <c r="K6" s="14"/>
      <c r="L6" s="22"/>
      <c r="M6" s="14"/>
      <c r="O6" t="e">
        <f>VLOOKUP(B6,'From Databricks partner portal'!E:E,1,FALSE)</f>
        <v>#N/A</v>
      </c>
    </row>
    <row r="7" spans="1:16">
      <c r="A7" s="2" t="s">
        <v>39</v>
      </c>
      <c r="B7" s="4" t="s">
        <v>40</v>
      </c>
      <c r="C7" s="7" t="s">
        <v>2</v>
      </c>
      <c r="D7" s="2" t="s">
        <v>36</v>
      </c>
      <c r="E7" s="20"/>
      <c r="F7" s="14" t="s">
        <v>38</v>
      </c>
      <c r="G7" s="14" t="s">
        <v>20</v>
      </c>
      <c r="H7" s="15">
        <v>45770</v>
      </c>
      <c r="I7" s="15">
        <v>45930</v>
      </c>
      <c r="J7" s="14" t="s">
        <v>9</v>
      </c>
      <c r="K7" s="14"/>
      <c r="L7" s="22"/>
      <c r="M7" s="14"/>
      <c r="O7" t="e">
        <f>VLOOKUP(B7,'From Databricks partner portal'!E:E,1,FALSE)</f>
        <v>#N/A</v>
      </c>
    </row>
    <row r="8" spans="1:16">
      <c r="A8" s="2" t="s">
        <v>41</v>
      </c>
      <c r="B8" s="4" t="s">
        <v>42</v>
      </c>
      <c r="C8" s="7" t="s">
        <v>2</v>
      </c>
      <c r="D8" s="2" t="s">
        <v>17</v>
      </c>
      <c r="E8" s="20" t="s">
        <v>43</v>
      </c>
      <c r="F8" s="14" t="s">
        <v>38</v>
      </c>
      <c r="G8" s="14" t="s">
        <v>20</v>
      </c>
      <c r="H8" s="15">
        <v>45772</v>
      </c>
      <c r="I8" s="15">
        <v>45930</v>
      </c>
      <c r="J8" s="14" t="s">
        <v>9</v>
      </c>
      <c r="K8" s="14"/>
      <c r="L8" s="22"/>
      <c r="M8" s="14"/>
      <c r="O8" t="e">
        <f>VLOOKUP(B8,'From Databricks partner portal'!E:E,1,FALSE)</f>
        <v>#N/A</v>
      </c>
    </row>
    <row r="9" spans="1:16" hidden="1">
      <c r="A9" s="2" t="s">
        <v>44</v>
      </c>
      <c r="B9" s="33" t="s">
        <v>45</v>
      </c>
      <c r="C9" s="3" t="s">
        <v>23</v>
      </c>
      <c r="D9" s="2" t="s">
        <v>36</v>
      </c>
      <c r="E9" s="20"/>
      <c r="F9" s="14" t="s">
        <v>38</v>
      </c>
      <c r="G9" s="14" t="s">
        <v>20</v>
      </c>
      <c r="H9" s="15"/>
      <c r="I9" s="15"/>
      <c r="J9" s="14" t="s">
        <v>9</v>
      </c>
      <c r="K9" s="14"/>
      <c r="L9" s="22"/>
      <c r="M9" s="14" t="s">
        <v>46</v>
      </c>
      <c r="O9" t="e">
        <f>VLOOKUP(B9,'From Databricks partner portal'!E:E,1,FALSE)</f>
        <v>#N/A</v>
      </c>
    </row>
    <row r="10" spans="1:16" hidden="1">
      <c r="A10" s="23" t="s">
        <v>47</v>
      </c>
      <c r="B10" s="51" t="s">
        <v>48</v>
      </c>
      <c r="C10" s="3" t="s">
        <v>23</v>
      </c>
      <c r="D10" s="2"/>
      <c r="E10" s="20"/>
      <c r="F10" s="14" t="s">
        <v>49</v>
      </c>
      <c r="G10" s="18" t="s">
        <v>50</v>
      </c>
      <c r="H10" s="15"/>
      <c r="I10" s="15"/>
      <c r="J10" s="14" t="s">
        <v>9</v>
      </c>
      <c r="K10" s="14"/>
      <c r="L10" s="22"/>
      <c r="M10" s="14"/>
      <c r="O10" t="e">
        <f>VLOOKUP(B10,'From Databricks partner portal'!E:E,1,FALSE)</f>
        <v>#N/A</v>
      </c>
    </row>
    <row r="11" spans="1:16">
      <c r="A11" s="2" t="s">
        <v>51</v>
      </c>
      <c r="B11" s="4" t="s">
        <v>52</v>
      </c>
      <c r="C11" s="7" t="s">
        <v>2</v>
      </c>
      <c r="D11" s="2" t="s">
        <v>36</v>
      </c>
      <c r="E11" s="20" t="s">
        <v>53</v>
      </c>
      <c r="F11" s="14" t="s">
        <v>29</v>
      </c>
      <c r="G11" s="14" t="s">
        <v>33</v>
      </c>
      <c r="H11" s="15">
        <v>45773</v>
      </c>
      <c r="I11" s="15">
        <v>45930</v>
      </c>
      <c r="J11" s="14" t="s">
        <v>9</v>
      </c>
      <c r="K11" s="14"/>
      <c r="L11" s="22"/>
      <c r="M11" s="14"/>
      <c r="O11" t="e">
        <f>VLOOKUP(B11,'From Databricks partner portal'!E:E,1,FALSE)</f>
        <v>#N/A</v>
      </c>
    </row>
    <row r="12" spans="1:16" hidden="1">
      <c r="A12" s="2" t="s">
        <v>54</v>
      </c>
      <c r="B12" s="4" t="s">
        <v>55</v>
      </c>
      <c r="C12" s="3" t="s">
        <v>23</v>
      </c>
      <c r="D12" s="2"/>
      <c r="E12" s="20"/>
      <c r="F12" s="14" t="s">
        <v>24</v>
      </c>
      <c r="G12" s="14" t="s">
        <v>24</v>
      </c>
      <c r="H12" s="15"/>
      <c r="I12" s="14"/>
      <c r="J12" s="14" t="s">
        <v>9</v>
      </c>
      <c r="K12" s="14"/>
      <c r="L12" s="22"/>
      <c r="M12" s="14"/>
      <c r="O12" t="e">
        <f>VLOOKUP(B12,'From Databricks partner portal'!E:E,1,FALSE)</f>
        <v>#N/A</v>
      </c>
    </row>
    <row r="13" spans="1:16" ht="16.350000000000001" hidden="1" customHeight="1">
      <c r="A13" s="2" t="s">
        <v>56</v>
      </c>
      <c r="B13" s="33" t="s">
        <v>57</v>
      </c>
      <c r="C13" s="3" t="s">
        <v>23</v>
      </c>
      <c r="D13" s="2" t="s">
        <v>36</v>
      </c>
      <c r="E13" s="20"/>
      <c r="F13" s="14" t="s">
        <v>38</v>
      </c>
      <c r="G13" s="14" t="s">
        <v>20</v>
      </c>
      <c r="H13" s="15"/>
      <c r="I13" s="15"/>
      <c r="J13" s="14" t="s">
        <v>9</v>
      </c>
      <c r="K13" s="14"/>
      <c r="L13" s="22"/>
      <c r="M13" s="14" t="s">
        <v>46</v>
      </c>
      <c r="O13" t="e">
        <f>VLOOKUP(B13,'From Databricks partner portal'!E:E,1,FALSE)</f>
        <v>#N/A</v>
      </c>
    </row>
    <row r="14" spans="1:16">
      <c r="A14" s="2" t="s">
        <v>58</v>
      </c>
      <c r="B14" s="4" t="s">
        <v>59</v>
      </c>
      <c r="C14" s="7" t="s">
        <v>2</v>
      </c>
      <c r="D14" s="2" t="s">
        <v>36</v>
      </c>
      <c r="E14" s="20" t="s">
        <v>60</v>
      </c>
      <c r="F14" s="14" t="s">
        <v>61</v>
      </c>
      <c r="G14" s="10" t="s">
        <v>33</v>
      </c>
      <c r="H14" s="15">
        <v>45784</v>
      </c>
      <c r="I14" s="15">
        <v>45930</v>
      </c>
      <c r="J14" s="14" t="s">
        <v>9</v>
      </c>
      <c r="K14" s="14"/>
      <c r="L14" s="22"/>
      <c r="M14" s="14"/>
      <c r="O14" t="e">
        <f>VLOOKUP(B14,'From Databricks partner portal'!E:E,1,FALSE)</f>
        <v>#N/A</v>
      </c>
    </row>
    <row r="15" spans="1:16">
      <c r="A15" s="2" t="s">
        <v>62</v>
      </c>
      <c r="B15" s="4" t="s">
        <v>63</v>
      </c>
      <c r="C15" s="7" t="s">
        <v>2</v>
      </c>
      <c r="D15" s="2" t="s">
        <v>17</v>
      </c>
      <c r="E15" s="20" t="s">
        <v>64</v>
      </c>
      <c r="F15" s="14" t="s">
        <v>61</v>
      </c>
      <c r="G15" s="18" t="s">
        <v>33</v>
      </c>
      <c r="H15" s="15">
        <v>45784</v>
      </c>
      <c r="I15" s="15">
        <v>45930</v>
      </c>
      <c r="J15" s="14" t="s">
        <v>9</v>
      </c>
      <c r="K15" s="14"/>
      <c r="L15" s="22"/>
      <c r="M15" s="14"/>
      <c r="O15" t="e">
        <f>VLOOKUP(B15,'From Databricks partner portal'!E:E,1,FALSE)</f>
        <v>#N/A</v>
      </c>
      <c r="P15" t="s">
        <v>65</v>
      </c>
    </row>
    <row r="16" spans="1:16" hidden="1">
      <c r="A16" s="2" t="s">
        <v>66</v>
      </c>
      <c r="B16" s="4" t="s">
        <v>67</v>
      </c>
      <c r="C16" s="7" t="s">
        <v>68</v>
      </c>
      <c r="D16" s="2" t="s">
        <v>69</v>
      </c>
      <c r="E16" s="20" t="s">
        <v>70</v>
      </c>
      <c r="F16" s="14" t="s">
        <v>71</v>
      </c>
      <c r="G16" s="10" t="s">
        <v>71</v>
      </c>
      <c r="H16" s="15">
        <v>45807</v>
      </c>
      <c r="I16" s="15">
        <v>45930</v>
      </c>
      <c r="J16" s="14" t="s">
        <v>9</v>
      </c>
      <c r="K16" s="14"/>
      <c r="L16" s="22" t="s">
        <v>72</v>
      </c>
      <c r="M16" s="14"/>
      <c r="N16" t="s">
        <v>73</v>
      </c>
      <c r="O16" t="e">
        <f>VLOOKUP(B16,'From Databricks partner portal'!E:E,1,FALSE)</f>
        <v>#N/A</v>
      </c>
    </row>
    <row r="17" spans="1:16" hidden="1">
      <c r="A17" s="2" t="s">
        <v>74</v>
      </c>
      <c r="B17" s="4" t="s">
        <v>75</v>
      </c>
      <c r="C17" s="7" t="s">
        <v>68</v>
      </c>
      <c r="D17" s="2" t="s">
        <v>69</v>
      </c>
      <c r="E17" s="20"/>
      <c r="F17" s="14" t="s">
        <v>71</v>
      </c>
      <c r="G17" s="18" t="s">
        <v>71</v>
      </c>
      <c r="H17" s="15">
        <v>45928</v>
      </c>
      <c r="I17" s="15">
        <v>45930</v>
      </c>
      <c r="J17" s="14" t="s">
        <v>9</v>
      </c>
      <c r="K17" s="14"/>
      <c r="L17" s="22" t="s">
        <v>72</v>
      </c>
      <c r="M17" s="14"/>
      <c r="N17" t="s">
        <v>73</v>
      </c>
      <c r="O17" t="e">
        <f>VLOOKUP(B17,'From Databricks partner portal'!E:E,1,FALSE)</f>
        <v>#N/A</v>
      </c>
    </row>
    <row r="18" spans="1:16" ht="16.350000000000001" hidden="1" customHeight="1">
      <c r="A18" s="2" t="s">
        <v>76</v>
      </c>
      <c r="B18" s="4" t="s">
        <v>77</v>
      </c>
      <c r="C18" s="7" t="s">
        <v>2</v>
      </c>
      <c r="D18" s="2" t="s">
        <v>17</v>
      </c>
      <c r="E18" s="20" t="s">
        <v>17</v>
      </c>
      <c r="F18" s="14" t="s">
        <v>33</v>
      </c>
      <c r="G18" s="14" t="s">
        <v>33</v>
      </c>
      <c r="H18" s="15">
        <v>45996</v>
      </c>
      <c r="I18" s="15">
        <v>45996</v>
      </c>
      <c r="J18" s="14" t="s">
        <v>9</v>
      </c>
      <c r="K18" s="14"/>
      <c r="L18" s="22"/>
      <c r="M18" s="14"/>
      <c r="O18" t="str">
        <f>VLOOKUP(B18,'From Databricks partner portal'!E:E,1,FALSE)</f>
        <v>aryan.vasudev@intuitive.ai</v>
      </c>
    </row>
    <row r="19" spans="1:16">
      <c r="A19" s="2" t="s">
        <v>78</v>
      </c>
      <c r="B19" s="4" t="s">
        <v>79</v>
      </c>
      <c r="C19" s="7" t="s">
        <v>2</v>
      </c>
      <c r="D19" s="2" t="s">
        <v>17</v>
      </c>
      <c r="E19" s="20" t="s">
        <v>80</v>
      </c>
      <c r="F19" s="14" t="s">
        <v>38</v>
      </c>
      <c r="G19" t="s">
        <v>20</v>
      </c>
      <c r="H19" s="15">
        <v>45793</v>
      </c>
      <c r="I19" s="15">
        <v>45930</v>
      </c>
      <c r="J19" s="14" t="s">
        <v>9</v>
      </c>
      <c r="K19" s="14"/>
      <c r="L19" s="22"/>
      <c r="M19" s="14"/>
      <c r="O19" t="e">
        <f>VLOOKUP(B19,'From Databricks partner portal'!E:E,1,FALSE)</f>
        <v>#N/A</v>
      </c>
      <c r="P19" t="s">
        <v>65</v>
      </c>
    </row>
    <row r="20" spans="1:16" hidden="1">
      <c r="A20" s="2" t="s">
        <v>81</v>
      </c>
      <c r="B20" s="4" t="s">
        <v>82</v>
      </c>
      <c r="C20" s="3" t="s">
        <v>23</v>
      </c>
      <c r="D20" s="2"/>
      <c r="E20" s="20"/>
      <c r="F20" s="14" t="s">
        <v>24</v>
      </c>
      <c r="G20" s="14" t="s">
        <v>24</v>
      </c>
      <c r="H20" s="15"/>
      <c r="I20" s="15"/>
      <c r="J20" s="14" t="s">
        <v>9</v>
      </c>
      <c r="K20" s="14"/>
      <c r="L20" s="22"/>
      <c r="M20" s="14"/>
      <c r="O20" t="e">
        <f>VLOOKUP(B20,'From Databricks partner portal'!E:E,1,FALSE)</f>
        <v>#N/A</v>
      </c>
    </row>
    <row r="21" spans="1:16" hidden="1">
      <c r="A21" s="60" t="s">
        <v>83</v>
      </c>
      <c r="B21" s="4" t="s">
        <v>84</v>
      </c>
      <c r="C21" s="3" t="s">
        <v>23</v>
      </c>
      <c r="D21" s="8"/>
      <c r="E21" s="21"/>
      <c r="F21" s="14" t="s">
        <v>24</v>
      </c>
      <c r="G21" s="18" t="s">
        <v>24</v>
      </c>
      <c r="H21" s="15"/>
      <c r="I21" s="15"/>
      <c r="J21" s="14" t="s">
        <v>9</v>
      </c>
      <c r="K21" s="14"/>
      <c r="L21" s="22"/>
      <c r="M21" s="14"/>
      <c r="O21" t="e">
        <f>VLOOKUP(B21,'From Databricks partner portal'!E:E,1,FALSE)</f>
        <v>#N/A</v>
      </c>
    </row>
    <row r="22" spans="1:16" hidden="1">
      <c r="A22" s="23" t="s">
        <v>85</v>
      </c>
      <c r="B22" s="4" t="s">
        <v>86</v>
      </c>
      <c r="C22" s="3" t="s">
        <v>23</v>
      </c>
      <c r="D22" s="2"/>
      <c r="E22" s="20"/>
      <c r="F22" s="14" t="s">
        <v>87</v>
      </c>
      <c r="G22" s="18" t="s">
        <v>30</v>
      </c>
      <c r="H22" s="15"/>
      <c r="I22" s="15"/>
      <c r="J22" s="14" t="s">
        <v>9</v>
      </c>
      <c r="K22" s="14"/>
      <c r="L22" s="22"/>
      <c r="M22" s="14"/>
      <c r="O22" t="e">
        <f>VLOOKUP(B22,'From Databricks partner portal'!E:E,1,FALSE)</f>
        <v>#N/A</v>
      </c>
    </row>
    <row r="23" spans="1:16" hidden="1">
      <c r="A23" s="2" t="s">
        <v>88</v>
      </c>
      <c r="B23" s="4" t="s">
        <v>89</v>
      </c>
      <c r="C23" s="67" t="s">
        <v>23</v>
      </c>
      <c r="D23" s="2"/>
      <c r="E23" s="20"/>
      <c r="F23" s="14" t="s">
        <v>90</v>
      </c>
      <c r="G23" s="14" t="s">
        <v>20</v>
      </c>
      <c r="H23" s="15"/>
      <c r="I23" s="15"/>
      <c r="J23" s="14"/>
      <c r="K23" s="14"/>
      <c r="L23" s="22"/>
      <c r="M23" s="14"/>
      <c r="O23" t="e">
        <f>VLOOKUP(B23,'From Databricks partner portal'!E:E,1,FALSE)</f>
        <v>#N/A</v>
      </c>
    </row>
    <row r="24" spans="1:16" ht="16.350000000000001" customHeight="1">
      <c r="A24" s="2" t="s">
        <v>91</v>
      </c>
      <c r="B24" s="4" t="s">
        <v>92</v>
      </c>
      <c r="C24" s="7" t="s">
        <v>2</v>
      </c>
      <c r="D24" s="2" t="s">
        <v>36</v>
      </c>
      <c r="E24" s="20" t="s">
        <v>93</v>
      </c>
      <c r="F24" s="14" t="s">
        <v>94</v>
      </c>
      <c r="G24" s="18" t="s">
        <v>30</v>
      </c>
      <c r="H24" s="15">
        <v>45797</v>
      </c>
      <c r="I24" s="15">
        <v>45930</v>
      </c>
      <c r="J24" s="14" t="s">
        <v>9</v>
      </c>
      <c r="K24" s="14"/>
      <c r="L24" s="22"/>
      <c r="M24" s="14"/>
      <c r="O24" t="e">
        <f>VLOOKUP(B24,'From Databricks partner portal'!E:E,1,FALSE)</f>
        <v>#N/A</v>
      </c>
    </row>
    <row r="25" spans="1:16">
      <c r="A25" s="2" t="s">
        <v>95</v>
      </c>
      <c r="B25" s="4" t="s">
        <v>96</v>
      </c>
      <c r="C25" s="7" t="s">
        <v>2</v>
      </c>
      <c r="D25" s="2" t="s">
        <v>36</v>
      </c>
      <c r="E25" s="20" t="s">
        <v>97</v>
      </c>
      <c r="F25" s="14" t="s">
        <v>94</v>
      </c>
      <c r="G25" s="18" t="s">
        <v>33</v>
      </c>
      <c r="H25" s="15">
        <v>45805</v>
      </c>
      <c r="I25" s="15">
        <v>45930</v>
      </c>
      <c r="J25" s="14" t="s">
        <v>9</v>
      </c>
      <c r="K25" s="14"/>
      <c r="L25" s="22"/>
      <c r="M25" s="14"/>
      <c r="O25" t="e">
        <f>VLOOKUP(B25,'From Databricks partner portal'!E:E,1,FALSE)</f>
        <v>#N/A</v>
      </c>
    </row>
    <row r="26" spans="1:16" hidden="1">
      <c r="A26" s="2" t="s">
        <v>98</v>
      </c>
      <c r="B26" s="4" t="s">
        <v>99</v>
      </c>
      <c r="C26" s="3" t="s">
        <v>23</v>
      </c>
      <c r="D26" s="2"/>
      <c r="E26" s="20"/>
      <c r="F26" s="14" t="s">
        <v>24</v>
      </c>
      <c r="G26" s="14" t="s">
        <v>24</v>
      </c>
      <c r="H26" s="15"/>
      <c r="I26" s="15"/>
      <c r="J26" s="14" t="s">
        <v>9</v>
      </c>
      <c r="K26" s="14"/>
      <c r="L26" s="22"/>
      <c r="M26" s="14"/>
      <c r="O26" t="e">
        <f>VLOOKUP(B26,'From Databricks partner portal'!E:E,1,FALSE)</f>
        <v>#N/A</v>
      </c>
    </row>
    <row r="27" spans="1:16" hidden="1">
      <c r="A27" s="23" t="s">
        <v>100</v>
      </c>
      <c r="B27" s="4" t="s">
        <v>101</v>
      </c>
      <c r="C27" s="3" t="s">
        <v>23</v>
      </c>
      <c r="D27" s="2"/>
      <c r="E27" s="20"/>
      <c r="F27" s="14" t="s">
        <v>102</v>
      </c>
      <c r="G27" s="18" t="s">
        <v>30</v>
      </c>
      <c r="H27" s="15"/>
      <c r="I27" s="15"/>
      <c r="J27" s="14" t="s">
        <v>9</v>
      </c>
      <c r="K27" s="14"/>
      <c r="L27" s="22"/>
      <c r="M27" s="14"/>
      <c r="O27" t="e">
        <f>VLOOKUP(B27,'From Databricks partner portal'!E:E,1,FALSE)</f>
        <v>#N/A</v>
      </c>
    </row>
    <row r="28" spans="1:16">
      <c r="A28" s="2" t="s">
        <v>103</v>
      </c>
      <c r="B28" s="4" t="s">
        <v>104</v>
      </c>
      <c r="C28" s="7" t="s">
        <v>2</v>
      </c>
      <c r="D28" s="2" t="s">
        <v>69</v>
      </c>
      <c r="E28" s="20" t="s">
        <v>105</v>
      </c>
      <c r="F28" s="14" t="s">
        <v>71</v>
      </c>
      <c r="G28" s="18" t="s">
        <v>71</v>
      </c>
      <c r="H28" s="15">
        <v>45824</v>
      </c>
      <c r="I28" s="15">
        <v>45930</v>
      </c>
      <c r="J28" s="14" t="s">
        <v>9</v>
      </c>
      <c r="K28" s="14"/>
      <c r="L28" s="22"/>
      <c r="M28" s="14"/>
      <c r="N28" t="s">
        <v>106</v>
      </c>
      <c r="O28" t="e">
        <f>VLOOKUP(B28,'From Databricks partner portal'!E:E,1,FALSE)</f>
        <v>#N/A</v>
      </c>
    </row>
    <row r="29" spans="1:16">
      <c r="A29" s="2" t="s">
        <v>107</v>
      </c>
      <c r="B29" s="4" t="s">
        <v>108</v>
      </c>
      <c r="C29" s="7" t="s">
        <v>2</v>
      </c>
      <c r="D29" s="2" t="s">
        <v>36</v>
      </c>
      <c r="E29" s="20" t="s">
        <v>109</v>
      </c>
      <c r="F29" s="14" t="s">
        <v>38</v>
      </c>
      <c r="G29" s="14" t="s">
        <v>20</v>
      </c>
      <c r="H29" s="15">
        <v>45824</v>
      </c>
      <c r="I29" s="15">
        <v>45930</v>
      </c>
      <c r="J29" s="14" t="s">
        <v>9</v>
      </c>
      <c r="K29" s="14"/>
      <c r="L29" s="22"/>
      <c r="M29" s="14"/>
      <c r="O29" t="e">
        <f>VLOOKUP(B29,'From Databricks partner portal'!E:E,1,FALSE)</f>
        <v>#N/A</v>
      </c>
    </row>
    <row r="30" spans="1:16">
      <c r="A30" s="2" t="s">
        <v>110</v>
      </c>
      <c r="B30" s="4" t="s">
        <v>111</v>
      </c>
      <c r="C30" s="7" t="s">
        <v>2</v>
      </c>
      <c r="D30" s="2" t="s">
        <v>17</v>
      </c>
      <c r="E30" s="20" t="s">
        <v>109</v>
      </c>
      <c r="F30" s="14" t="s">
        <v>38</v>
      </c>
      <c r="G30" s="14" t="s">
        <v>20</v>
      </c>
      <c r="H30" s="15">
        <v>45824</v>
      </c>
      <c r="I30" s="15">
        <v>45930</v>
      </c>
      <c r="J30" s="14" t="s">
        <v>9</v>
      </c>
      <c r="K30" s="14"/>
      <c r="L30" s="22"/>
      <c r="M30" s="14"/>
      <c r="O30" t="e">
        <f>VLOOKUP(B30,'From Databricks partner portal'!E:E,1,FALSE)</f>
        <v>#N/A</v>
      </c>
    </row>
    <row r="31" spans="1:16" hidden="1">
      <c r="A31" s="23" t="s">
        <v>112</v>
      </c>
      <c r="B31" s="4" t="s">
        <v>113</v>
      </c>
      <c r="C31" s="3" t="s">
        <v>23</v>
      </c>
      <c r="D31" s="2"/>
      <c r="E31" s="20"/>
      <c r="F31" s="14" t="s">
        <v>71</v>
      </c>
      <c r="G31" s="18" t="s">
        <v>71</v>
      </c>
      <c r="H31" s="15"/>
      <c r="I31" s="15"/>
      <c r="J31" s="14" t="s">
        <v>9</v>
      </c>
      <c r="K31" s="14"/>
      <c r="L31" s="22"/>
      <c r="M31" s="14"/>
      <c r="O31" t="e">
        <f>VLOOKUP(B31,'From Databricks partner portal'!E:E,1,FALSE)</f>
        <v>#N/A</v>
      </c>
    </row>
    <row r="32" spans="1:16">
      <c r="A32" s="2" t="s">
        <v>114</v>
      </c>
      <c r="B32" s="4" t="s">
        <v>115</v>
      </c>
      <c r="C32" s="7" t="s">
        <v>2</v>
      </c>
      <c r="D32" s="14" t="s">
        <v>17</v>
      </c>
      <c r="E32" s="20" t="s">
        <v>116</v>
      </c>
      <c r="F32" s="14" t="s">
        <v>117</v>
      </c>
      <c r="G32" s="18" t="s">
        <v>33</v>
      </c>
      <c r="H32" s="15">
        <v>45825</v>
      </c>
      <c r="I32" s="15">
        <v>45930</v>
      </c>
      <c r="J32" s="14" t="s">
        <v>9</v>
      </c>
      <c r="K32" s="14"/>
      <c r="L32" s="22"/>
      <c r="M32" s="14"/>
      <c r="O32" t="e">
        <f>VLOOKUP(B32,'From Databricks partner portal'!E:E,1,FALSE)</f>
        <v>#N/A</v>
      </c>
    </row>
    <row r="33" spans="1:16">
      <c r="A33" s="2" t="s">
        <v>118</v>
      </c>
      <c r="B33" s="4" t="s">
        <v>119</v>
      </c>
      <c r="C33" s="7" t="s">
        <v>2</v>
      </c>
      <c r="D33" s="2" t="s">
        <v>17</v>
      </c>
      <c r="E33" s="20" t="s">
        <v>120</v>
      </c>
      <c r="F33" s="14" t="s">
        <v>38</v>
      </c>
      <c r="G33" s="14" t="s">
        <v>20</v>
      </c>
      <c r="H33" s="15">
        <v>45825</v>
      </c>
      <c r="I33" s="15">
        <v>45930</v>
      </c>
      <c r="J33" s="14" t="s">
        <v>9</v>
      </c>
      <c r="K33" s="14"/>
      <c r="L33" s="22"/>
      <c r="M33" s="14"/>
      <c r="O33" t="e">
        <f>VLOOKUP(B33,'From Databricks partner portal'!E:E,1,FALSE)</f>
        <v>#N/A</v>
      </c>
      <c r="P33" t="s">
        <v>65</v>
      </c>
    </row>
    <row r="34" spans="1:16" hidden="1">
      <c r="A34" s="2" t="s">
        <v>121</v>
      </c>
      <c r="B34" s="4" t="s">
        <v>122</v>
      </c>
      <c r="C34" s="3" t="s">
        <v>23</v>
      </c>
      <c r="D34" s="2"/>
      <c r="E34" s="20"/>
      <c r="F34" s="14" t="s">
        <v>24</v>
      </c>
      <c r="G34" s="14" t="s">
        <v>24</v>
      </c>
      <c r="H34" s="15"/>
      <c r="I34" s="15"/>
      <c r="J34" s="14" t="s">
        <v>9</v>
      </c>
      <c r="K34" s="14"/>
      <c r="L34" s="22"/>
      <c r="M34" s="14"/>
      <c r="O34" t="e">
        <f>VLOOKUP(B34,'From Databricks partner portal'!E:E,1,FALSE)</f>
        <v>#N/A</v>
      </c>
    </row>
    <row r="35" spans="1:16" ht="17.100000000000001" customHeight="1">
      <c r="A35" s="2" t="s">
        <v>123</v>
      </c>
      <c r="B35" s="4" t="s">
        <v>124</v>
      </c>
      <c r="C35" s="7" t="s">
        <v>2</v>
      </c>
      <c r="D35" s="2" t="s">
        <v>17</v>
      </c>
      <c r="E35" s="20" t="s">
        <v>125</v>
      </c>
      <c r="F35" s="14" t="s">
        <v>38</v>
      </c>
      <c r="G35" s="18" t="s">
        <v>30</v>
      </c>
      <c r="H35" s="15">
        <v>45826</v>
      </c>
      <c r="I35" s="15">
        <v>45930</v>
      </c>
      <c r="J35" s="14" t="s">
        <v>9</v>
      </c>
      <c r="K35" s="14"/>
      <c r="L35" s="22"/>
      <c r="M35" s="14"/>
      <c r="O35" t="e">
        <f>VLOOKUP(B35,'From Databricks partner portal'!E:E,1,FALSE)</f>
        <v>#N/A</v>
      </c>
    </row>
    <row r="36" spans="1:16">
      <c r="A36" s="2" t="s">
        <v>126</v>
      </c>
      <c r="B36" s="4" t="s">
        <v>127</v>
      </c>
      <c r="C36" s="7" t="s">
        <v>2</v>
      </c>
      <c r="D36" s="2" t="s">
        <v>17</v>
      </c>
      <c r="E36" s="20" t="s">
        <v>125</v>
      </c>
      <c r="F36" s="14" t="s">
        <v>38</v>
      </c>
      <c r="G36" s="14" t="s">
        <v>20</v>
      </c>
      <c r="H36" s="15">
        <v>45826</v>
      </c>
      <c r="I36" s="15">
        <v>45930</v>
      </c>
      <c r="J36" s="14" t="s">
        <v>9</v>
      </c>
      <c r="K36" s="14"/>
      <c r="L36" s="22"/>
      <c r="M36" s="14"/>
      <c r="O36" t="e">
        <f>VLOOKUP(B36,'From Databricks partner portal'!E:E,1,FALSE)</f>
        <v>#N/A</v>
      </c>
    </row>
    <row r="37" spans="1:16">
      <c r="A37" s="23" t="s">
        <v>128</v>
      </c>
      <c r="B37" s="4" t="s">
        <v>129</v>
      </c>
      <c r="C37" s="7" t="s">
        <v>2</v>
      </c>
      <c r="D37" s="14" t="s">
        <v>69</v>
      </c>
      <c r="E37" s="20"/>
      <c r="F37" s="14" t="s">
        <v>71</v>
      </c>
      <c r="G37" s="18" t="s">
        <v>71</v>
      </c>
      <c r="H37" s="15">
        <v>45830</v>
      </c>
      <c r="I37" s="15">
        <v>45930</v>
      </c>
      <c r="J37" s="14" t="s">
        <v>9</v>
      </c>
      <c r="K37" s="14"/>
      <c r="L37" s="22"/>
      <c r="M37" s="14"/>
      <c r="O37" t="e">
        <f>VLOOKUP(B37,'From Databricks partner portal'!E:E,1,FALSE)</f>
        <v>#N/A</v>
      </c>
    </row>
    <row r="38" spans="1:16" ht="16.350000000000001" hidden="1" customHeight="1">
      <c r="A38" s="2" t="s">
        <v>130</v>
      </c>
      <c r="B38" s="4" t="s">
        <v>131</v>
      </c>
      <c r="C38" s="42" t="s">
        <v>2</v>
      </c>
      <c r="D38" s="14" t="s">
        <v>69</v>
      </c>
      <c r="E38" s="20" t="s">
        <v>105</v>
      </c>
      <c r="F38" s="14" t="s">
        <v>71</v>
      </c>
      <c r="G38" s="18" t="s">
        <v>71</v>
      </c>
      <c r="H38" s="15">
        <v>45766</v>
      </c>
      <c r="I38" s="15">
        <v>45930</v>
      </c>
      <c r="J38" s="14" t="s">
        <v>9</v>
      </c>
      <c r="K38" s="14"/>
      <c r="L38" s="22"/>
      <c r="M38" s="14"/>
      <c r="O38" t="str">
        <f>VLOOKUP(B38,'From Databricks partner portal'!E:E,1,FALSE)</f>
        <v>gaurav.gangwar@intuitive.ai</v>
      </c>
    </row>
    <row r="39" spans="1:16" ht="16.350000000000001" hidden="1" customHeight="1">
      <c r="A39" s="2" t="s">
        <v>132</v>
      </c>
      <c r="B39" s="4" t="s">
        <v>133</v>
      </c>
      <c r="C39" s="3" t="s">
        <v>23</v>
      </c>
      <c r="D39" s="14"/>
      <c r="E39" s="20"/>
      <c r="F39" s="14" t="s">
        <v>134</v>
      </c>
      <c r="G39" s="14" t="s">
        <v>20</v>
      </c>
      <c r="H39" s="15"/>
      <c r="I39" s="15"/>
      <c r="J39" s="14"/>
      <c r="K39" s="14"/>
      <c r="L39" s="22"/>
      <c r="M39" s="14"/>
      <c r="O39" t="e">
        <f>VLOOKUP(B39,'From Databricks partner portal'!E:E,1,FALSE)</f>
        <v>#N/A</v>
      </c>
    </row>
    <row r="40" spans="1:16" ht="17.100000000000001">
      <c r="A40" s="2" t="s">
        <v>135</v>
      </c>
      <c r="B40" s="94" t="s">
        <v>136</v>
      </c>
      <c r="C40" s="68" t="s">
        <v>2</v>
      </c>
      <c r="D40" s="2" t="s">
        <v>17</v>
      </c>
      <c r="E40" s="20"/>
      <c r="F40" s="14" t="s">
        <v>38</v>
      </c>
      <c r="G40" s="15" t="s">
        <v>20</v>
      </c>
      <c r="H40" s="15">
        <v>45878</v>
      </c>
      <c r="I40" s="14">
        <v>45930</v>
      </c>
      <c r="J40" s="14" t="s">
        <v>9</v>
      </c>
      <c r="K40" s="14"/>
      <c r="L40" s="22"/>
      <c r="M40" s="14"/>
      <c r="O40" t="e">
        <f>VLOOKUP(B40,'From Databricks partner portal'!E:E,1,FALSE)</f>
        <v>#N/A</v>
      </c>
      <c r="P40" t="s">
        <v>65</v>
      </c>
    </row>
    <row r="41" spans="1:16" hidden="1">
      <c r="A41" s="2" t="s">
        <v>137</v>
      </c>
      <c r="B41" s="4" t="s">
        <v>138</v>
      </c>
      <c r="C41" s="3" t="s">
        <v>23</v>
      </c>
      <c r="D41" s="2"/>
      <c r="E41" s="20"/>
      <c r="F41" s="14" t="s">
        <v>139</v>
      </c>
      <c r="G41" s="14" t="s">
        <v>20</v>
      </c>
      <c r="H41" s="15"/>
      <c r="I41" s="15"/>
      <c r="J41" s="14"/>
      <c r="K41" s="14"/>
      <c r="L41" s="22"/>
      <c r="M41" s="14"/>
      <c r="O41" t="e">
        <f>VLOOKUP(B41,'From Databricks partner portal'!E:E,1,FALSE)</f>
        <v>#N/A</v>
      </c>
    </row>
    <row r="42" spans="1:16">
      <c r="A42" s="2" t="s">
        <v>140</v>
      </c>
      <c r="B42" s="4" t="s">
        <v>141</v>
      </c>
      <c r="C42" s="7" t="s">
        <v>2</v>
      </c>
      <c r="D42" s="25" t="s">
        <v>17</v>
      </c>
      <c r="E42" s="20" t="s">
        <v>64</v>
      </c>
      <c r="F42" s="14" t="s">
        <v>61</v>
      </c>
      <c r="G42" s="18" t="s">
        <v>33</v>
      </c>
      <c r="H42" s="15">
        <v>45884</v>
      </c>
      <c r="I42" s="15">
        <v>45930</v>
      </c>
      <c r="J42" s="14" t="s">
        <v>9</v>
      </c>
      <c r="K42" s="14"/>
      <c r="L42" s="22"/>
      <c r="M42" s="14"/>
      <c r="O42" t="e">
        <f>VLOOKUP(B42,'From Databricks partner portal'!E:E,1,FALSE)</f>
        <v>#N/A</v>
      </c>
    </row>
    <row r="43" spans="1:16">
      <c r="A43" s="2" t="s">
        <v>142</v>
      </c>
      <c r="B43" s="4" t="s">
        <v>143</v>
      </c>
      <c r="C43" s="7" t="s">
        <v>2</v>
      </c>
      <c r="D43" s="25" t="s">
        <v>17</v>
      </c>
      <c r="E43" s="20" t="s">
        <v>144</v>
      </c>
      <c r="F43" s="14" t="s">
        <v>61</v>
      </c>
      <c r="G43" s="18" t="s">
        <v>30</v>
      </c>
      <c r="H43" s="15">
        <v>45884</v>
      </c>
      <c r="I43" s="15">
        <v>45930</v>
      </c>
      <c r="J43" s="14" t="s">
        <v>9</v>
      </c>
      <c r="K43" s="14"/>
      <c r="L43" s="22"/>
      <c r="M43" s="14"/>
      <c r="O43" t="e">
        <f>VLOOKUP(B43,'From Databricks partner portal'!E:E,1,FALSE)</f>
        <v>#N/A</v>
      </c>
    </row>
    <row r="44" spans="1:16" hidden="1">
      <c r="A44" s="2" t="s">
        <v>145</v>
      </c>
      <c r="B44" s="4" t="s">
        <v>146</v>
      </c>
      <c r="C44" s="7" t="s">
        <v>2</v>
      </c>
      <c r="D44" s="14" t="s">
        <v>17</v>
      </c>
      <c r="E44" s="20"/>
      <c r="F44" s="14" t="s">
        <v>33</v>
      </c>
      <c r="G44" s="14" t="s">
        <v>33</v>
      </c>
      <c r="H44" s="15">
        <v>46006</v>
      </c>
      <c r="I44" s="15">
        <v>46006</v>
      </c>
      <c r="J44" s="14" t="s">
        <v>9</v>
      </c>
      <c r="K44" s="14"/>
      <c r="L44" s="22"/>
      <c r="M44" s="14"/>
      <c r="O44" t="str">
        <f>VLOOKUP(B44,'From Databricks partner portal'!E:E,1,FALSE)</f>
        <v>het.shah@intuitive.ai</v>
      </c>
    </row>
    <row r="45" spans="1:16">
      <c r="A45" s="2" t="s">
        <v>147</v>
      </c>
      <c r="B45" s="4" t="s">
        <v>148</v>
      </c>
      <c r="C45" s="7" t="s">
        <v>2</v>
      </c>
      <c r="D45" s="14" t="s">
        <v>36</v>
      </c>
      <c r="E45" s="20" t="s">
        <v>149</v>
      </c>
      <c r="F45" s="18" t="s">
        <v>38</v>
      </c>
      <c r="G45" s="14" t="s">
        <v>20</v>
      </c>
      <c r="H45" s="15">
        <v>45884</v>
      </c>
      <c r="I45" s="15">
        <v>45930</v>
      </c>
      <c r="J45" s="14" t="s">
        <v>9</v>
      </c>
      <c r="K45" s="14"/>
      <c r="L45" s="22"/>
      <c r="M45" s="14"/>
      <c r="O45" t="e">
        <f>VLOOKUP(B45,'From Databricks partner portal'!E:E,1,FALSE)</f>
        <v>#N/A</v>
      </c>
    </row>
    <row r="46" spans="1:16" hidden="1">
      <c r="A46" s="2" t="s">
        <v>150</v>
      </c>
      <c r="B46" s="4" t="s">
        <v>151</v>
      </c>
      <c r="C46" s="3" t="s">
        <v>23</v>
      </c>
      <c r="D46" s="14"/>
      <c r="E46" s="20"/>
      <c r="F46" s="14" t="s">
        <v>24</v>
      </c>
      <c r="G46" s="14" t="s">
        <v>24</v>
      </c>
      <c r="H46" s="15"/>
      <c r="I46" s="15"/>
      <c r="J46" s="14" t="s">
        <v>9</v>
      </c>
      <c r="K46" s="14"/>
      <c r="L46" s="22"/>
      <c r="M46" s="14"/>
      <c r="O46" t="e">
        <f>VLOOKUP(B46,'From Databricks partner portal'!E:E,1,FALSE)</f>
        <v>#N/A</v>
      </c>
    </row>
    <row r="47" spans="1:16" hidden="1">
      <c r="A47" s="8" t="s">
        <v>152</v>
      </c>
      <c r="B47" s="9" t="s">
        <v>153</v>
      </c>
      <c r="C47" s="67" t="s">
        <v>23</v>
      </c>
      <c r="D47" s="14"/>
      <c r="E47" s="21"/>
      <c r="F47" t="s">
        <v>24</v>
      </c>
      <c r="G47" t="s">
        <v>24</v>
      </c>
      <c r="H47" s="15"/>
      <c r="I47" s="15"/>
      <c r="J47" s="14" t="s">
        <v>9</v>
      </c>
      <c r="K47" s="14"/>
      <c r="L47" s="22"/>
      <c r="M47" s="14"/>
      <c r="O47" t="e">
        <f>VLOOKUP(B47,'From Databricks partner portal'!E:E,1,FALSE)</f>
        <v>#N/A</v>
      </c>
    </row>
    <row r="48" spans="1:16" hidden="1">
      <c r="A48" s="14" t="s">
        <v>154</v>
      </c>
      <c r="B48" s="24" t="s">
        <v>155</v>
      </c>
      <c r="C48" s="42" t="s">
        <v>2</v>
      </c>
      <c r="D48" s="14" t="s">
        <v>17</v>
      </c>
      <c r="E48" s="22" t="s">
        <v>17</v>
      </c>
      <c r="F48" s="14" t="s">
        <v>33</v>
      </c>
      <c r="G48" s="14" t="s">
        <v>33</v>
      </c>
      <c r="H48" s="15">
        <v>45996</v>
      </c>
      <c r="I48" s="15">
        <v>45996</v>
      </c>
      <c r="J48" s="14" t="s">
        <v>9</v>
      </c>
      <c r="K48" s="14"/>
      <c r="L48" s="22"/>
      <c r="M48" s="14"/>
      <c r="O48" t="str">
        <f>VLOOKUP(B48,'From Databricks partner portal'!E:E,1,FALSE)</f>
        <v>janhvi.kurkure@intuitive.ai</v>
      </c>
    </row>
    <row r="49" spans="1:15" ht="17.100000000000001" customHeight="1">
      <c r="A49" s="14" t="s">
        <v>156</v>
      </c>
      <c r="B49" s="24" t="s">
        <v>157</v>
      </c>
      <c r="C49" s="42" t="s">
        <v>2</v>
      </c>
      <c r="D49" s="14" t="s">
        <v>17</v>
      </c>
      <c r="E49" s="22" t="s">
        <v>158</v>
      </c>
      <c r="F49" s="14" t="s">
        <v>117</v>
      </c>
      <c r="G49" s="18" t="s">
        <v>33</v>
      </c>
      <c r="H49" s="15">
        <v>45884</v>
      </c>
      <c r="I49" s="15">
        <v>45930</v>
      </c>
      <c r="J49" s="14" t="s">
        <v>9</v>
      </c>
      <c r="K49" s="14"/>
      <c r="L49" s="22"/>
      <c r="M49" s="14"/>
      <c r="O49" t="e">
        <f>VLOOKUP(B49,'From Databricks partner portal'!E:E,1,FALSE)</f>
        <v>#N/A</v>
      </c>
    </row>
    <row r="50" spans="1:15">
      <c r="A50" s="14" t="s">
        <v>159</v>
      </c>
      <c r="B50" s="24" t="s">
        <v>160</v>
      </c>
      <c r="C50" s="42" t="s">
        <v>2</v>
      </c>
      <c r="D50" s="14" t="s">
        <v>36</v>
      </c>
      <c r="E50" s="22" t="s">
        <v>161</v>
      </c>
      <c r="F50" s="14" t="s">
        <v>38</v>
      </c>
      <c r="G50" s="14" t="s">
        <v>20</v>
      </c>
      <c r="H50" s="15">
        <v>45891</v>
      </c>
      <c r="I50" s="15">
        <v>45930</v>
      </c>
      <c r="J50" s="14" t="s">
        <v>9</v>
      </c>
      <c r="K50" s="14"/>
      <c r="L50" s="22"/>
      <c r="M50" s="14"/>
      <c r="O50" t="e">
        <f>VLOOKUP(B50,'From Databricks partner portal'!E:E,1,FALSE)</f>
        <v>#N/A</v>
      </c>
    </row>
    <row r="51" spans="1:15" hidden="1">
      <c r="A51" s="14" t="s">
        <v>162</v>
      </c>
      <c r="B51" s="24" t="s">
        <v>163</v>
      </c>
      <c r="C51" s="3" t="s">
        <v>23</v>
      </c>
      <c r="D51" s="18" t="s">
        <v>36</v>
      </c>
      <c r="E51" s="22"/>
      <c r="F51" s="14" t="s">
        <v>38</v>
      </c>
      <c r="G51" s="14" t="s">
        <v>20</v>
      </c>
      <c r="H51" s="15"/>
      <c r="I51" s="15"/>
      <c r="J51" s="14" t="s">
        <v>9</v>
      </c>
      <c r="K51" s="14"/>
      <c r="L51" s="22"/>
      <c r="M51" s="14" t="s">
        <v>46</v>
      </c>
      <c r="O51" t="e">
        <f>VLOOKUP(B51,'From Databricks partner portal'!E:E,1,FALSE)</f>
        <v>#N/A</v>
      </c>
    </row>
    <row r="52" spans="1:15" hidden="1">
      <c r="A52" s="13" t="s">
        <v>164</v>
      </c>
      <c r="B52" s="4" t="s">
        <v>165</v>
      </c>
      <c r="C52" s="44" t="s">
        <v>23</v>
      </c>
      <c r="D52" s="18" t="s">
        <v>166</v>
      </c>
      <c r="E52" s="22"/>
      <c r="F52" s="14" t="s">
        <v>50</v>
      </c>
      <c r="G52" s="18" t="s">
        <v>50</v>
      </c>
      <c r="H52" s="15"/>
      <c r="I52" s="15"/>
      <c r="J52" s="14" t="s">
        <v>9</v>
      </c>
      <c r="K52" s="14"/>
      <c r="L52" s="22"/>
      <c r="M52" s="14"/>
      <c r="O52" t="e">
        <f>VLOOKUP(B52,'From Databricks partner portal'!E:E,1,FALSE)</f>
        <v>#N/A</v>
      </c>
    </row>
    <row r="53" spans="1:15" hidden="1">
      <c r="A53" s="13" t="s">
        <v>167</v>
      </c>
      <c r="B53" s="4" t="s">
        <v>168</v>
      </c>
      <c r="C53" s="44" t="s">
        <v>23</v>
      </c>
      <c r="D53" s="18"/>
      <c r="E53" s="22"/>
      <c r="F53" s="14" t="s">
        <v>30</v>
      </c>
      <c r="G53" s="18" t="s">
        <v>30</v>
      </c>
      <c r="H53" s="15"/>
      <c r="I53" s="15"/>
      <c r="J53" s="14" t="s">
        <v>9</v>
      </c>
      <c r="K53" s="14"/>
      <c r="L53" s="22"/>
      <c r="M53" s="14"/>
      <c r="O53" t="e">
        <f>VLOOKUP(B53,'From Databricks partner portal'!E:E,1,FALSE)</f>
        <v>#N/A</v>
      </c>
    </row>
    <row r="54" spans="1:15" hidden="1">
      <c r="A54" s="14" t="s">
        <v>169</v>
      </c>
      <c r="B54" s="24" t="s">
        <v>170</v>
      </c>
      <c r="C54" s="44" t="s">
        <v>23</v>
      </c>
      <c r="D54" s="14"/>
      <c r="E54" s="22"/>
      <c r="F54" s="14" t="s">
        <v>24</v>
      </c>
      <c r="G54" s="14" t="s">
        <v>24</v>
      </c>
      <c r="I54" s="15"/>
      <c r="J54" s="14" t="s">
        <v>9</v>
      </c>
      <c r="K54" s="14"/>
      <c r="L54" s="22"/>
      <c r="M54" s="14"/>
      <c r="O54" t="e">
        <f>VLOOKUP(B54,'From Databricks partner portal'!E:E,1,FALSE)</f>
        <v>#N/A</v>
      </c>
    </row>
    <row r="55" spans="1:15" hidden="1">
      <c r="A55" s="14" t="s">
        <v>171</v>
      </c>
      <c r="B55" s="24" t="s">
        <v>172</v>
      </c>
      <c r="C55" s="3" t="s">
        <v>23</v>
      </c>
      <c r="D55" s="18"/>
      <c r="E55" s="22"/>
      <c r="F55" s="14" t="s">
        <v>61</v>
      </c>
      <c r="G55" s="14" t="s">
        <v>20</v>
      </c>
      <c r="H55" s="15"/>
      <c r="I55" s="15"/>
      <c r="J55" s="14" t="s">
        <v>9</v>
      </c>
      <c r="K55" s="14"/>
      <c r="L55" s="22"/>
      <c r="M55" s="14" t="s">
        <v>46</v>
      </c>
      <c r="O55" t="e">
        <f>VLOOKUP(B55,'From Databricks partner portal'!E:E,1,FALSE)</f>
        <v>#N/A</v>
      </c>
    </row>
    <row r="56" spans="1:15" ht="17.100000000000001" customHeight="1">
      <c r="A56" s="14" t="s">
        <v>173</v>
      </c>
      <c r="B56" s="24" t="s">
        <v>174</v>
      </c>
      <c r="C56" s="42" t="s">
        <v>2</v>
      </c>
      <c r="D56" s="14" t="s">
        <v>36</v>
      </c>
      <c r="E56" s="22" t="s">
        <v>175</v>
      </c>
      <c r="F56" s="14" t="s">
        <v>38</v>
      </c>
      <c r="G56" s="14" t="s">
        <v>20</v>
      </c>
      <c r="H56" s="15">
        <v>45898</v>
      </c>
      <c r="I56" s="15">
        <v>45930</v>
      </c>
      <c r="J56" s="14" t="s">
        <v>9</v>
      </c>
      <c r="K56" s="14"/>
      <c r="L56" s="22"/>
      <c r="M56" s="14"/>
      <c r="O56" t="e">
        <f>VLOOKUP(B56,'From Databricks partner portal'!E:E,1,FALSE)</f>
        <v>#N/A</v>
      </c>
    </row>
    <row r="57" spans="1:15">
      <c r="A57" s="14" t="s">
        <v>176</v>
      </c>
      <c r="B57" s="24" t="s">
        <v>177</v>
      </c>
      <c r="C57" s="42" t="s">
        <v>2</v>
      </c>
      <c r="D57" s="14" t="s">
        <v>36</v>
      </c>
      <c r="E57" s="22" t="s">
        <v>178</v>
      </c>
      <c r="F57" s="14" t="s">
        <v>29</v>
      </c>
      <c r="G57" s="18" t="s">
        <v>33</v>
      </c>
      <c r="H57" s="15">
        <v>45898</v>
      </c>
      <c r="I57" s="15">
        <v>45930</v>
      </c>
      <c r="J57" s="14" t="s">
        <v>9</v>
      </c>
      <c r="K57" s="14"/>
      <c r="L57" s="22"/>
      <c r="M57" s="14"/>
      <c r="O57" t="e">
        <f>VLOOKUP(B57,'From Databricks partner portal'!E:E,1,FALSE)</f>
        <v>#N/A</v>
      </c>
    </row>
    <row r="58" spans="1:15">
      <c r="A58" s="14" t="s">
        <v>179</v>
      </c>
      <c r="B58" s="24" t="s">
        <v>180</v>
      </c>
      <c r="C58" s="42" t="s">
        <v>2</v>
      </c>
      <c r="D58" s="14" t="s">
        <v>69</v>
      </c>
      <c r="E58" s="22" t="s">
        <v>181</v>
      </c>
      <c r="F58" s="14" t="s">
        <v>182</v>
      </c>
      <c r="G58" s="18" t="s">
        <v>33</v>
      </c>
      <c r="H58" s="15">
        <v>45902</v>
      </c>
      <c r="I58" s="15">
        <v>45930</v>
      </c>
      <c r="J58" s="14" t="s">
        <v>9</v>
      </c>
      <c r="K58" s="14"/>
      <c r="L58" s="22"/>
      <c r="M58" s="14"/>
      <c r="O58" t="e">
        <f>VLOOKUP(B58,'From Databricks partner portal'!E:E,1,FALSE)</f>
        <v>#N/A</v>
      </c>
    </row>
    <row r="59" spans="1:15">
      <c r="A59" s="13" t="s">
        <v>183</v>
      </c>
      <c r="B59" s="24" t="s">
        <v>184</v>
      </c>
      <c r="C59" s="42" t="s">
        <v>2</v>
      </c>
      <c r="D59" s="14" t="s">
        <v>36</v>
      </c>
      <c r="E59" s="22"/>
      <c r="F59" s="14" t="s">
        <v>185</v>
      </c>
      <c r="G59" s="18" t="s">
        <v>30</v>
      </c>
      <c r="H59" s="15">
        <v>45921</v>
      </c>
      <c r="I59" s="15">
        <v>45930</v>
      </c>
      <c r="J59" s="14" t="s">
        <v>9</v>
      </c>
      <c r="K59" s="14"/>
      <c r="L59" s="22"/>
      <c r="M59" s="14"/>
      <c r="O59" t="e">
        <f>VLOOKUP(B59,'From Databricks partner portal'!E:E,1,FALSE)</f>
        <v>#N/A</v>
      </c>
    </row>
    <row r="60" spans="1:15" ht="16.350000000000001" hidden="1" customHeight="1">
      <c r="A60" s="14" t="s">
        <v>186</v>
      </c>
      <c r="B60" s="4" t="s">
        <v>187</v>
      </c>
      <c r="C60" s="44" t="s">
        <v>23</v>
      </c>
      <c r="D60" s="14"/>
      <c r="E60" s="22"/>
      <c r="F60" s="14" t="s">
        <v>24</v>
      </c>
      <c r="G60" s="14" t="s">
        <v>24</v>
      </c>
      <c r="H60" s="15"/>
      <c r="I60" s="15"/>
      <c r="J60" s="14" t="s">
        <v>9</v>
      </c>
      <c r="K60" s="14"/>
      <c r="L60" s="22"/>
      <c r="M60" s="14"/>
      <c r="O60" t="e">
        <f>VLOOKUP(B60,'From Databricks partner portal'!E:E,1,FALSE)</f>
        <v>#N/A</v>
      </c>
    </row>
    <row r="61" spans="1:15" ht="16.350000000000001" hidden="1" customHeight="1">
      <c r="A61" s="62" t="s">
        <v>188</v>
      </c>
      <c r="B61" s="24" t="s">
        <v>189</v>
      </c>
      <c r="C61" s="44" t="s">
        <v>23</v>
      </c>
      <c r="D61" s="14"/>
      <c r="E61" s="22"/>
      <c r="F61" s="14" t="s">
        <v>50</v>
      </c>
      <c r="G61" s="18" t="s">
        <v>50</v>
      </c>
      <c r="H61" s="15"/>
      <c r="I61" s="15"/>
      <c r="J61" s="14" t="s">
        <v>9</v>
      </c>
      <c r="K61" s="14"/>
      <c r="L61" s="22"/>
      <c r="M61" s="14"/>
      <c r="O61" t="e">
        <f>VLOOKUP(B61,'From Databricks partner portal'!E:E,1,FALSE)</f>
        <v>#N/A</v>
      </c>
    </row>
    <row r="62" spans="1:15" ht="16.350000000000001" hidden="1" customHeight="1">
      <c r="A62" s="14" t="s">
        <v>190</v>
      </c>
      <c r="B62" s="24" t="s">
        <v>191</v>
      </c>
      <c r="C62" s="44" t="s">
        <v>23</v>
      </c>
      <c r="D62" s="14"/>
      <c r="E62" s="22"/>
      <c r="F62" s="14" t="s">
        <v>24</v>
      </c>
      <c r="G62" s="14" t="s">
        <v>24</v>
      </c>
      <c r="H62" s="15"/>
      <c r="I62" s="15"/>
      <c r="J62" s="14" t="s">
        <v>9</v>
      </c>
      <c r="K62" s="14"/>
      <c r="L62" s="22"/>
      <c r="M62" s="14"/>
      <c r="O62" t="e">
        <f>VLOOKUP(B62,'From Databricks partner portal'!E:E,1,FALSE)</f>
        <v>#N/A</v>
      </c>
    </row>
    <row r="63" spans="1:15" ht="16.350000000000001" customHeight="1">
      <c r="A63" s="14" t="s">
        <v>192</v>
      </c>
      <c r="B63" s="24" t="s">
        <v>193</v>
      </c>
      <c r="C63" s="42" t="s">
        <v>2</v>
      </c>
      <c r="D63" s="18" t="s">
        <v>36</v>
      </c>
      <c r="E63" s="22"/>
      <c r="F63" s="14" t="s">
        <v>38</v>
      </c>
      <c r="G63" t="s">
        <v>20</v>
      </c>
      <c r="H63" s="15">
        <v>45925</v>
      </c>
      <c r="I63" s="15">
        <v>45930</v>
      </c>
      <c r="J63" s="14" t="s">
        <v>9</v>
      </c>
      <c r="K63" s="14"/>
      <c r="L63" s="22"/>
      <c r="M63" s="14"/>
      <c r="O63" t="e">
        <f>VLOOKUP(B63,'From Databricks partner portal'!E:E,1,FALSE)</f>
        <v>#N/A</v>
      </c>
    </row>
    <row r="64" spans="1:15" ht="16.350000000000001" hidden="1" customHeight="1">
      <c r="A64" s="13" t="s">
        <v>194</v>
      </c>
      <c r="B64" s="24" t="s">
        <v>195</v>
      </c>
      <c r="C64" s="44" t="s">
        <v>23</v>
      </c>
      <c r="D64" s="18"/>
      <c r="E64" s="22"/>
      <c r="F64" s="14" t="s">
        <v>71</v>
      </c>
      <c r="G64" s="18" t="s">
        <v>71</v>
      </c>
      <c r="H64" s="15"/>
      <c r="I64" s="15"/>
      <c r="J64" s="14" t="s">
        <v>9</v>
      </c>
      <c r="K64" s="14"/>
      <c r="L64" s="22"/>
      <c r="M64" s="14"/>
      <c r="O64" t="e">
        <f>VLOOKUP(B64,'From Databricks partner portal'!E:E,1,FALSE)</f>
        <v>#N/A</v>
      </c>
    </row>
    <row r="65" spans="1:16" ht="17.100000000000001" hidden="1" customHeight="1">
      <c r="A65" s="13" t="s">
        <v>196</v>
      </c>
      <c r="B65" s="24" t="s">
        <v>197</v>
      </c>
      <c r="C65" s="44" t="s">
        <v>23</v>
      </c>
      <c r="D65" s="14" t="s">
        <v>166</v>
      </c>
      <c r="E65" s="22"/>
      <c r="F65" s="14" t="s">
        <v>71</v>
      </c>
      <c r="G65" s="18" t="s">
        <v>71</v>
      </c>
      <c r="H65" s="15"/>
      <c r="I65" s="15"/>
      <c r="J65" s="14" t="s">
        <v>9</v>
      </c>
      <c r="K65" s="14"/>
      <c r="L65" s="22"/>
      <c r="M65" s="14"/>
      <c r="O65" t="e">
        <f>VLOOKUP(B65,'From Databricks partner portal'!E:E,1,FALSE)</f>
        <v>#N/A</v>
      </c>
    </row>
    <row r="66" spans="1:16" ht="16.350000000000001" hidden="1" customHeight="1">
      <c r="A66" s="14" t="s">
        <v>198</v>
      </c>
      <c r="B66" s="64" t="s">
        <v>199</v>
      </c>
      <c r="C66" s="44" t="s">
        <v>23</v>
      </c>
      <c r="D66" s="18"/>
      <c r="E66" s="22"/>
      <c r="F66" s="14" t="s">
        <v>20</v>
      </c>
      <c r="G66" s="14" t="s">
        <v>20</v>
      </c>
      <c r="H66" s="15"/>
      <c r="I66" s="99"/>
      <c r="J66" s="14" t="s">
        <v>9</v>
      </c>
      <c r="K66" s="14"/>
      <c r="L66" s="22"/>
      <c r="M66" s="14"/>
      <c r="O66" t="e">
        <f>VLOOKUP(B66,'From Databricks partner portal'!E:E,1,FALSE)</f>
        <v>#N/A</v>
      </c>
    </row>
    <row r="67" spans="1:16" hidden="1">
      <c r="A67" s="13" t="s">
        <v>200</v>
      </c>
      <c r="B67" s="64" t="s">
        <v>201</v>
      </c>
      <c r="C67" s="44" t="s">
        <v>23</v>
      </c>
      <c r="D67" s="18"/>
      <c r="E67" s="22"/>
      <c r="F67" s="14" t="s">
        <v>87</v>
      </c>
      <c r="G67" s="18" t="s">
        <v>30</v>
      </c>
      <c r="H67" s="15"/>
      <c r="I67" s="15"/>
      <c r="J67" s="14" t="s">
        <v>9</v>
      </c>
      <c r="K67" s="14"/>
      <c r="L67" s="22"/>
      <c r="M67" s="14"/>
      <c r="O67" t="e">
        <f>VLOOKUP(B67,'From Databricks partner portal'!E:E,1,FALSE)</f>
        <v>#N/A</v>
      </c>
    </row>
    <row r="68" spans="1:16">
      <c r="A68" s="13" t="s">
        <v>202</v>
      </c>
      <c r="B68" s="24" t="s">
        <v>203</v>
      </c>
      <c r="C68" s="42" t="s">
        <v>2</v>
      </c>
      <c r="D68" s="14" t="s">
        <v>36</v>
      </c>
      <c r="E68" s="22"/>
      <c r="F68" s="14" t="s">
        <v>87</v>
      </c>
      <c r="G68" s="18" t="s">
        <v>30</v>
      </c>
      <c r="H68" s="15">
        <v>45925</v>
      </c>
      <c r="I68" s="15">
        <v>45930</v>
      </c>
      <c r="J68" s="14" t="s">
        <v>9</v>
      </c>
      <c r="K68" s="14"/>
      <c r="L68" s="22"/>
      <c r="M68" s="14"/>
      <c r="O68" t="e">
        <f>VLOOKUP(B68,'From Databricks partner portal'!E:E,1,FALSE)</f>
        <v>#N/A</v>
      </c>
    </row>
    <row r="69" spans="1:16" ht="16.350000000000001" hidden="1" customHeight="1">
      <c r="A69" s="13" t="s">
        <v>204</v>
      </c>
      <c r="B69" s="32" t="s">
        <v>205</v>
      </c>
      <c r="C69" s="1" t="s">
        <v>23</v>
      </c>
      <c r="D69" s="14"/>
      <c r="E69" s="22"/>
      <c r="F69" s="14" t="s">
        <v>87</v>
      </c>
      <c r="G69" s="18" t="s">
        <v>30</v>
      </c>
      <c r="H69" s="28"/>
      <c r="I69" s="15"/>
      <c r="J69" s="14" t="s">
        <v>9</v>
      </c>
      <c r="K69" s="14"/>
      <c r="L69" s="22"/>
      <c r="M69" s="14"/>
      <c r="O69" t="e">
        <f>VLOOKUP(B69,'From Databricks partner portal'!E:E,1,FALSE)</f>
        <v>#N/A</v>
      </c>
    </row>
    <row r="70" spans="1:16" ht="16.350000000000001" hidden="1" customHeight="1">
      <c r="A70" s="14" t="s">
        <v>206</v>
      </c>
      <c r="B70" s="24" t="s">
        <v>207</v>
      </c>
      <c r="C70" s="42" t="s">
        <v>2</v>
      </c>
      <c r="D70" s="14" t="s">
        <v>17</v>
      </c>
      <c r="E70" s="22"/>
      <c r="F70" s="14" t="s">
        <v>33</v>
      </c>
      <c r="G70" s="14" t="s">
        <v>33</v>
      </c>
      <c r="H70" s="15">
        <v>46006</v>
      </c>
      <c r="I70" s="15">
        <v>46006</v>
      </c>
      <c r="J70" s="14" t="s">
        <v>9</v>
      </c>
      <c r="K70" s="14"/>
      <c r="L70" s="22"/>
      <c r="M70" s="14"/>
      <c r="O70" t="str">
        <f>VLOOKUP(B70,'From Databricks partner portal'!E:E,1,FALSE)</f>
        <v>malhar.prajapati@intuitive.ai</v>
      </c>
    </row>
    <row r="71" spans="1:16" ht="16.350000000000001" hidden="1" customHeight="1">
      <c r="A71" s="14" t="s">
        <v>208</v>
      </c>
      <c r="B71" s="24" t="s">
        <v>209</v>
      </c>
      <c r="C71" s="44" t="s">
        <v>23</v>
      </c>
      <c r="D71" s="14"/>
      <c r="E71" s="22"/>
      <c r="F71" s="14" t="s">
        <v>210</v>
      </c>
      <c r="G71" s="14" t="s">
        <v>20</v>
      </c>
      <c r="H71" s="15"/>
      <c r="I71" s="15"/>
      <c r="J71" s="14"/>
      <c r="K71" s="14"/>
      <c r="L71" s="22"/>
      <c r="M71" s="14"/>
      <c r="O71" t="e">
        <f>VLOOKUP(B71,'From Databricks partner portal'!E:E,1,FALSE)</f>
        <v>#N/A</v>
      </c>
    </row>
    <row r="72" spans="1:16" ht="17.100000000000001" hidden="1">
      <c r="A72" s="14" t="s">
        <v>211</v>
      </c>
      <c r="B72" s="32" t="s">
        <v>212</v>
      </c>
      <c r="C72" s="1" t="s">
        <v>23</v>
      </c>
      <c r="D72" s="18"/>
      <c r="E72" s="22"/>
      <c r="F72" s="14" t="s">
        <v>50</v>
      </c>
      <c r="G72" s="18" t="s">
        <v>50</v>
      </c>
      <c r="H72" s="15"/>
      <c r="I72" s="15"/>
      <c r="J72" s="14" t="s">
        <v>9</v>
      </c>
      <c r="K72" s="14"/>
      <c r="L72" s="22"/>
      <c r="M72" s="14"/>
      <c r="O72" t="e">
        <f>VLOOKUP(B72,'From Databricks partner portal'!E:E,1,FALSE)</f>
        <v>#N/A</v>
      </c>
    </row>
    <row r="73" spans="1:16">
      <c r="A73" s="14" t="s">
        <v>213</v>
      </c>
      <c r="B73" s="24" t="s">
        <v>214</v>
      </c>
      <c r="C73" s="42" t="s">
        <v>2</v>
      </c>
      <c r="D73" s="14" t="s">
        <v>36</v>
      </c>
      <c r="E73" s="22"/>
      <c r="F73" s="14" t="s">
        <v>38</v>
      </c>
      <c r="G73" s="14" t="s">
        <v>20</v>
      </c>
      <c r="H73" s="15">
        <v>45926</v>
      </c>
      <c r="I73" s="15">
        <v>45930</v>
      </c>
      <c r="J73" s="14" t="s">
        <v>9</v>
      </c>
      <c r="K73" s="14"/>
      <c r="L73" s="22"/>
      <c r="M73" s="14"/>
      <c r="O73" t="e">
        <f>VLOOKUP(B73,'From Databricks partner portal'!E:E,1,FALSE)</f>
        <v>#N/A</v>
      </c>
      <c r="P73" t="s">
        <v>65</v>
      </c>
    </row>
    <row r="74" spans="1:16">
      <c r="A74" s="14" t="s">
        <v>215</v>
      </c>
      <c r="B74" s="24" t="s">
        <v>216</v>
      </c>
      <c r="C74" s="42" t="s">
        <v>2</v>
      </c>
      <c r="D74" s="14" t="s">
        <v>36</v>
      </c>
      <c r="E74" s="22" t="s">
        <v>217</v>
      </c>
      <c r="F74" s="14" t="s">
        <v>94</v>
      </c>
      <c r="G74" s="18" t="s">
        <v>33</v>
      </c>
      <c r="H74" s="15">
        <v>45928</v>
      </c>
      <c r="I74" s="15">
        <v>45930</v>
      </c>
      <c r="J74" s="14" t="s">
        <v>9</v>
      </c>
      <c r="K74" s="14"/>
      <c r="L74" s="22"/>
      <c r="M74" s="14"/>
      <c r="O74" t="e">
        <f>VLOOKUP(B74,'From Databricks partner portal'!E:E,1,FALSE)</f>
        <v>#N/A</v>
      </c>
    </row>
    <row r="75" spans="1:16" hidden="1">
      <c r="A75" s="13" t="s">
        <v>218</v>
      </c>
      <c r="B75" s="24" t="s">
        <v>219</v>
      </c>
      <c r="C75" s="7" t="s">
        <v>68</v>
      </c>
      <c r="D75" s="14" t="s">
        <v>166</v>
      </c>
      <c r="E75" s="22"/>
      <c r="F75" s="14" t="s">
        <v>71</v>
      </c>
      <c r="G75" s="18" t="s">
        <v>71</v>
      </c>
      <c r="H75" s="15">
        <v>45926</v>
      </c>
      <c r="I75" s="15">
        <v>45930</v>
      </c>
      <c r="J75" s="14" t="s">
        <v>9</v>
      </c>
      <c r="K75" s="14"/>
      <c r="L75" s="22"/>
      <c r="M75" s="14"/>
      <c r="O75" t="e">
        <f>VLOOKUP(B75,'From Databricks partner portal'!E:E,1,FALSE)</f>
        <v>#N/A</v>
      </c>
    </row>
    <row r="76" spans="1:16" ht="16.350000000000001" customHeight="1">
      <c r="A76" s="14" t="s">
        <v>220</v>
      </c>
      <c r="B76" s="24" t="s">
        <v>221</v>
      </c>
      <c r="C76" s="42" t="s">
        <v>2</v>
      </c>
      <c r="D76" s="14" t="s">
        <v>36</v>
      </c>
      <c r="E76" s="22"/>
      <c r="F76" s="14" t="s">
        <v>87</v>
      </c>
      <c r="G76" s="18" t="s">
        <v>30</v>
      </c>
      <c r="H76" s="15">
        <v>45929</v>
      </c>
      <c r="I76" s="15">
        <v>45930</v>
      </c>
      <c r="J76" s="14" t="s">
        <v>9</v>
      </c>
      <c r="K76" s="14"/>
      <c r="L76" s="22"/>
      <c r="M76" s="14"/>
      <c r="O76" t="e">
        <f>VLOOKUP(B76,'From Databricks partner portal'!E:E,1,FALSE)</f>
        <v>#N/A</v>
      </c>
    </row>
    <row r="77" spans="1:16" ht="16.350000000000001" hidden="1" customHeight="1">
      <c r="A77" s="13" t="s">
        <v>222</v>
      </c>
      <c r="B77" s="32" t="s">
        <v>223</v>
      </c>
      <c r="C77" s="44" t="s">
        <v>23</v>
      </c>
      <c r="D77" s="14" t="s">
        <v>36</v>
      </c>
      <c r="E77" s="22"/>
      <c r="F77" s="14" t="s">
        <v>87</v>
      </c>
      <c r="G77" s="18" t="s">
        <v>30</v>
      </c>
      <c r="H77" s="15"/>
      <c r="I77" s="15"/>
      <c r="J77" s="14" t="s">
        <v>9</v>
      </c>
      <c r="K77" s="14"/>
      <c r="L77" s="22"/>
      <c r="M77" s="14"/>
      <c r="O77" t="e">
        <f>VLOOKUP(B77,'From Databricks partner portal'!E:E,1,FALSE)</f>
        <v>#N/A</v>
      </c>
    </row>
    <row r="78" spans="1:16" ht="16.350000000000001" customHeight="1">
      <c r="A78" s="13" t="s">
        <v>224</v>
      </c>
      <c r="B78" s="24" t="s">
        <v>225</v>
      </c>
      <c r="C78" s="42" t="s">
        <v>2</v>
      </c>
      <c r="D78" s="14" t="s">
        <v>17</v>
      </c>
      <c r="E78" s="22"/>
      <c r="F78" s="14" t="s">
        <v>71</v>
      </c>
      <c r="G78" s="18" t="s">
        <v>71</v>
      </c>
      <c r="H78" s="15">
        <v>45930</v>
      </c>
      <c r="I78" s="15">
        <v>45930</v>
      </c>
      <c r="J78" s="14" t="s">
        <v>9</v>
      </c>
      <c r="K78" s="14"/>
      <c r="L78" s="22"/>
      <c r="M78" s="14"/>
      <c r="O78" t="e">
        <f>VLOOKUP(B78,'From Databricks partner portal'!E:E,1,FALSE)</f>
        <v>#N/A</v>
      </c>
    </row>
    <row r="79" spans="1:16" ht="16.350000000000001" hidden="1" customHeight="1">
      <c r="A79" s="14" t="s">
        <v>226</v>
      </c>
      <c r="B79" s="24" t="s">
        <v>227</v>
      </c>
      <c r="C79" s="44" t="s">
        <v>23</v>
      </c>
      <c r="D79" s="14"/>
      <c r="E79" s="22"/>
      <c r="F79" s="14" t="s">
        <v>24</v>
      </c>
      <c r="G79" s="14" t="s">
        <v>24</v>
      </c>
      <c r="H79" s="15"/>
      <c r="I79" s="15"/>
      <c r="J79" s="14" t="s">
        <v>9</v>
      </c>
      <c r="K79" s="14"/>
      <c r="L79" s="22"/>
      <c r="M79" s="14"/>
      <c r="O79" t="e">
        <f>VLOOKUP(B79,'From Databricks partner portal'!E:E,1,FALSE)</f>
        <v>#N/A</v>
      </c>
    </row>
    <row r="80" spans="1:16" ht="16.350000000000001" hidden="1" customHeight="1">
      <c r="A80" s="13" t="s">
        <v>228</v>
      </c>
      <c r="B80" s="24" t="s">
        <v>229</v>
      </c>
      <c r="C80" s="44" t="s">
        <v>23</v>
      </c>
      <c r="D80" s="14"/>
      <c r="E80" s="22"/>
      <c r="F80" s="14" t="s">
        <v>87</v>
      </c>
      <c r="G80" s="18" t="s">
        <v>30</v>
      </c>
      <c r="H80" s="15"/>
      <c r="I80" s="15"/>
      <c r="J80" s="14" t="s">
        <v>9</v>
      </c>
      <c r="K80" s="14"/>
      <c r="L80" s="22"/>
      <c r="M80" s="14"/>
      <c r="O80" t="e">
        <f>VLOOKUP(B80,'From Databricks partner portal'!E:E,1,FALSE)</f>
        <v>#N/A</v>
      </c>
    </row>
    <row r="81" spans="1:16" ht="16.350000000000001" hidden="1" customHeight="1">
      <c r="A81" s="14" t="s">
        <v>230</v>
      </c>
      <c r="B81" s="24" t="s">
        <v>231</v>
      </c>
      <c r="C81" s="44" t="s">
        <v>23</v>
      </c>
      <c r="D81" s="14"/>
      <c r="E81" s="22"/>
      <c r="F81" s="14" t="s">
        <v>50</v>
      </c>
      <c r="G81" s="18" t="s">
        <v>50</v>
      </c>
      <c r="H81" s="15"/>
      <c r="I81" s="15"/>
      <c r="J81" s="14" t="s">
        <v>9</v>
      </c>
      <c r="K81" s="14"/>
      <c r="L81" s="22"/>
      <c r="M81" s="14"/>
      <c r="O81" t="e">
        <f>VLOOKUP(B81,'From Databricks partner portal'!E:E,1,FALSE)</f>
        <v>#N/A</v>
      </c>
    </row>
    <row r="82" spans="1:16" ht="16.350000000000001" customHeight="1">
      <c r="A82" s="13" t="s">
        <v>232</v>
      </c>
      <c r="B82" s="24" t="s">
        <v>233</v>
      </c>
      <c r="C82" s="42" t="s">
        <v>2</v>
      </c>
      <c r="D82" s="18" t="s">
        <v>36</v>
      </c>
      <c r="E82" s="22"/>
      <c r="F82" s="14" t="s">
        <v>87</v>
      </c>
      <c r="G82" s="18" t="s">
        <v>30</v>
      </c>
      <c r="H82" s="15">
        <v>45930</v>
      </c>
      <c r="I82" s="15">
        <v>45930</v>
      </c>
      <c r="J82" s="14" t="s">
        <v>9</v>
      </c>
      <c r="K82" s="14"/>
      <c r="L82" s="22"/>
      <c r="M82" s="14"/>
      <c r="O82" t="e">
        <f>VLOOKUP(B82,'From Databricks partner portal'!E:E,1,FALSE)</f>
        <v>#N/A</v>
      </c>
    </row>
    <row r="83" spans="1:16" ht="16.350000000000001" customHeight="1">
      <c r="A83" s="14" t="s">
        <v>234</v>
      </c>
      <c r="B83" s="24" t="s">
        <v>235</v>
      </c>
      <c r="C83" s="42" t="s">
        <v>2</v>
      </c>
      <c r="D83" s="14" t="s">
        <v>17</v>
      </c>
      <c r="E83" s="22"/>
      <c r="F83" s="14" t="s">
        <v>94</v>
      </c>
      <c r="G83" s="18" t="s">
        <v>33</v>
      </c>
      <c r="H83" s="15">
        <v>45930</v>
      </c>
      <c r="I83" s="15">
        <v>45930</v>
      </c>
      <c r="J83" s="14" t="s">
        <v>9</v>
      </c>
      <c r="K83" s="14"/>
      <c r="L83" s="22"/>
      <c r="M83" s="14"/>
      <c r="O83" t="e">
        <f>VLOOKUP(B83,'From Databricks partner portal'!E:E,1,FALSE)</f>
        <v>#N/A</v>
      </c>
    </row>
    <row r="84" spans="1:16" hidden="1">
      <c r="A84" s="14" t="s">
        <v>236</v>
      </c>
      <c r="B84" s="24" t="s">
        <v>237</v>
      </c>
      <c r="C84" s="68" t="s">
        <v>2</v>
      </c>
      <c r="D84" s="14" t="s">
        <v>17</v>
      </c>
      <c r="E84" s="22"/>
      <c r="F84" s="14" t="s">
        <v>33</v>
      </c>
      <c r="G84" s="14" t="s">
        <v>33</v>
      </c>
      <c r="H84" s="15">
        <v>46006</v>
      </c>
      <c r="I84" s="15">
        <v>46006</v>
      </c>
      <c r="J84" s="14" t="s">
        <v>9</v>
      </c>
      <c r="K84" s="14"/>
      <c r="L84" s="22"/>
      <c r="M84" s="14"/>
      <c r="O84" t="str">
        <f>VLOOKUP(B84,'From Databricks partner portal'!E:E,1,FALSE)</f>
        <v>parth.vadodaria@intuitive.ai</v>
      </c>
    </row>
    <row r="85" spans="1:16" ht="16.350000000000001" hidden="1" customHeight="1">
      <c r="A85" s="14" t="s">
        <v>238</v>
      </c>
      <c r="B85" s="24" t="s">
        <v>239</v>
      </c>
      <c r="C85" s="42" t="s">
        <v>2</v>
      </c>
      <c r="D85" s="14" t="s">
        <v>17</v>
      </c>
      <c r="E85" s="22" t="s">
        <v>17</v>
      </c>
      <c r="F85" s="14" t="s">
        <v>33</v>
      </c>
      <c r="G85" s="14" t="s">
        <v>33</v>
      </c>
      <c r="H85" s="15">
        <v>45996</v>
      </c>
      <c r="I85" s="15">
        <v>45996</v>
      </c>
      <c r="J85" s="14" t="s">
        <v>9</v>
      </c>
      <c r="K85" s="14"/>
      <c r="L85" s="22"/>
      <c r="M85" s="14"/>
      <c r="O85" t="str">
        <f>VLOOKUP(B85,'From Databricks partner portal'!E:E,1,FALSE)</f>
        <v>bhumi.patel@intuitive.ai</v>
      </c>
    </row>
    <row r="86" spans="1:16">
      <c r="A86" s="13" t="s">
        <v>240</v>
      </c>
      <c r="B86" s="24" t="s">
        <v>241</v>
      </c>
      <c r="C86" s="42" t="s">
        <v>2</v>
      </c>
      <c r="D86" s="14" t="s">
        <v>36</v>
      </c>
      <c r="E86" s="22"/>
      <c r="F86" s="14" t="s">
        <v>30</v>
      </c>
      <c r="G86" s="18" t="s">
        <v>30</v>
      </c>
      <c r="H86" s="15">
        <v>45931</v>
      </c>
      <c r="I86" s="15">
        <v>45930</v>
      </c>
      <c r="J86" s="14" t="s">
        <v>9</v>
      </c>
      <c r="K86" s="14"/>
      <c r="L86" s="22"/>
      <c r="M86" s="14"/>
      <c r="O86" t="e">
        <f>VLOOKUP(B86,'From Databricks partner portal'!E:E,1,FALSE)</f>
        <v>#N/A</v>
      </c>
      <c r="P86" t="s">
        <v>65</v>
      </c>
    </row>
    <row r="87" spans="1:16" hidden="1">
      <c r="A87" s="14" t="s">
        <v>242</v>
      </c>
      <c r="B87" s="24" t="s">
        <v>243</v>
      </c>
      <c r="C87" s="44" t="s">
        <v>23</v>
      </c>
      <c r="D87" s="14"/>
      <c r="E87" s="22"/>
      <c r="F87" s="14" t="s">
        <v>33</v>
      </c>
      <c r="G87" s="18" t="s">
        <v>30</v>
      </c>
      <c r="H87" s="15"/>
      <c r="I87" s="15"/>
      <c r="J87" s="14" t="s">
        <v>9</v>
      </c>
      <c r="K87" s="14"/>
      <c r="L87" s="22"/>
      <c r="M87" s="14"/>
      <c r="O87" t="e">
        <f>VLOOKUP(B87,'From Databricks partner portal'!E:E,1,FALSE)</f>
        <v>#N/A</v>
      </c>
    </row>
    <row r="88" spans="1:16">
      <c r="A88" s="14" t="s">
        <v>244</v>
      </c>
      <c r="B88" s="78" t="s">
        <v>245</v>
      </c>
      <c r="C88" s="7" t="s">
        <v>2</v>
      </c>
      <c r="D88" s="14" t="s">
        <v>36</v>
      </c>
      <c r="E88" s="22"/>
      <c r="F88" s="14" t="s">
        <v>94</v>
      </c>
      <c r="G88" s="18" t="s">
        <v>33</v>
      </c>
      <c r="H88" s="15">
        <v>45931</v>
      </c>
      <c r="I88" s="15">
        <v>45930</v>
      </c>
      <c r="J88" s="14" t="s">
        <v>9</v>
      </c>
      <c r="K88" s="14"/>
      <c r="L88" s="22"/>
      <c r="M88" s="14"/>
      <c r="O88" t="e">
        <f>VLOOKUP(B88,'From Databricks partner portal'!E:E,1,FALSE)</f>
        <v>#N/A</v>
      </c>
    </row>
    <row r="89" spans="1:16" hidden="1">
      <c r="A89" s="14" t="s">
        <v>246</v>
      </c>
      <c r="B89" s="24" t="s">
        <v>247</v>
      </c>
      <c r="C89" s="42" t="s">
        <v>2</v>
      </c>
      <c r="D89" s="14" t="s">
        <v>17</v>
      </c>
      <c r="E89" s="14"/>
      <c r="F89" s="14" t="s">
        <v>33</v>
      </c>
      <c r="G89" s="14" t="s">
        <v>33</v>
      </c>
      <c r="H89" s="15">
        <v>46006</v>
      </c>
      <c r="I89" s="15">
        <v>46006</v>
      </c>
      <c r="J89" s="14" t="s">
        <v>9</v>
      </c>
      <c r="K89" s="14"/>
      <c r="L89" s="22"/>
      <c r="M89" s="14"/>
      <c r="O89" t="str">
        <f>VLOOKUP(B89,'From Databricks partner portal'!E:E,1,FALSE)</f>
        <v>prachi.desai@intuitive.ai</v>
      </c>
    </row>
    <row r="90" spans="1:16" ht="17.100000000000001" hidden="1" customHeight="1">
      <c r="A90" s="14" t="s">
        <v>248</v>
      </c>
      <c r="B90" s="24" t="s">
        <v>249</v>
      </c>
      <c r="C90" s="44" t="s">
        <v>23</v>
      </c>
      <c r="D90" s="14"/>
      <c r="E90" s="14"/>
      <c r="F90" s="14" t="s">
        <v>24</v>
      </c>
      <c r="G90" s="14" t="s">
        <v>24</v>
      </c>
      <c r="H90" s="15"/>
      <c r="I90" s="15"/>
      <c r="J90" s="14" t="s">
        <v>9</v>
      </c>
      <c r="K90" s="14"/>
      <c r="L90" s="22"/>
      <c r="M90" s="14"/>
      <c r="O90" t="e">
        <f>VLOOKUP(B90,'From Databricks partner portal'!E:E,1,FALSE)</f>
        <v>#N/A</v>
      </c>
    </row>
    <row r="91" spans="1:16">
      <c r="A91" s="13" t="s">
        <v>250</v>
      </c>
      <c r="B91" s="24" t="s">
        <v>251</v>
      </c>
      <c r="C91" s="42" t="s">
        <v>2</v>
      </c>
      <c r="D91" s="18" t="s">
        <v>36</v>
      </c>
      <c r="E91" s="14"/>
      <c r="F91" s="14" t="s">
        <v>87</v>
      </c>
      <c r="G91" s="18" t="s">
        <v>30</v>
      </c>
      <c r="H91" s="15">
        <v>45931</v>
      </c>
      <c r="I91" s="15">
        <v>45930</v>
      </c>
      <c r="J91" s="14" t="s">
        <v>9</v>
      </c>
      <c r="K91" s="14"/>
      <c r="L91" s="22"/>
      <c r="M91" s="14"/>
      <c r="O91" t="e">
        <f>VLOOKUP(B91,'From Databricks partner portal'!E:E,1,FALSE)</f>
        <v>#N/A</v>
      </c>
      <c r="P91" t="s">
        <v>65</v>
      </c>
    </row>
    <row r="92" spans="1:16" hidden="1">
      <c r="A92" s="13" t="s">
        <v>252</v>
      </c>
      <c r="B92" s="24" t="s">
        <v>253</v>
      </c>
      <c r="C92" s="44" t="s">
        <v>23</v>
      </c>
      <c r="D92" s="14"/>
      <c r="E92" s="14"/>
      <c r="F92" s="14" t="s">
        <v>30</v>
      </c>
      <c r="G92" s="18" t="s">
        <v>30</v>
      </c>
      <c r="H92" s="15"/>
      <c r="I92" s="15"/>
      <c r="J92" s="14" t="s">
        <v>9</v>
      </c>
      <c r="K92" s="14"/>
      <c r="L92" s="22"/>
      <c r="M92" s="14"/>
      <c r="O92" t="e">
        <f>VLOOKUP(B92,'From Databricks partner portal'!E:E,1,FALSE)</f>
        <v>#N/A</v>
      </c>
    </row>
    <row r="93" spans="1:16" ht="16.350000000000001" hidden="1" customHeight="1">
      <c r="A93" s="14" t="s">
        <v>254</v>
      </c>
      <c r="B93" s="24" t="s">
        <v>255</v>
      </c>
      <c r="C93" s="44" t="s">
        <v>23</v>
      </c>
      <c r="D93" s="14"/>
      <c r="E93" s="14"/>
      <c r="F93" s="14" t="s">
        <v>256</v>
      </c>
      <c r="G93" s="14" t="s">
        <v>20</v>
      </c>
      <c r="H93" s="15"/>
      <c r="I93" s="15"/>
      <c r="J93" s="14"/>
      <c r="K93" s="14"/>
      <c r="L93" s="22"/>
      <c r="M93" s="14"/>
      <c r="O93" t="e">
        <f>VLOOKUP(B93,'From Databricks partner portal'!E:E,1,FALSE)</f>
        <v>#N/A</v>
      </c>
    </row>
    <row r="94" spans="1:16" hidden="1">
      <c r="A94" s="14" t="s">
        <v>257</v>
      </c>
      <c r="B94" s="24" t="s">
        <v>258</v>
      </c>
      <c r="C94" s="42" t="s">
        <v>2</v>
      </c>
      <c r="D94" s="14" t="s">
        <v>17</v>
      </c>
      <c r="E94" s="14"/>
      <c r="F94" s="14" t="s">
        <v>33</v>
      </c>
      <c r="G94" s="14" t="s">
        <v>33</v>
      </c>
      <c r="H94" s="15">
        <v>46006</v>
      </c>
      <c r="I94" s="15">
        <v>46006</v>
      </c>
      <c r="J94" s="14" t="s">
        <v>9</v>
      </c>
      <c r="K94" s="14"/>
      <c r="L94" s="22"/>
      <c r="M94" s="14"/>
      <c r="O94" t="str">
        <f>VLOOKUP(B94,'From Databricks partner portal'!E:E,1,FALSE)</f>
        <v>pundrik.shayta@intuitive.ai</v>
      </c>
    </row>
    <row r="95" spans="1:16" hidden="1">
      <c r="A95" s="13" t="s">
        <v>259</v>
      </c>
      <c r="B95" s="24" t="s">
        <v>260</v>
      </c>
      <c r="C95" s="44" t="s">
        <v>23</v>
      </c>
      <c r="D95" s="25"/>
      <c r="E95" s="25"/>
      <c r="F95" s="14" t="s">
        <v>50</v>
      </c>
      <c r="G95" s="18" t="s">
        <v>50</v>
      </c>
      <c r="H95" s="27"/>
      <c r="I95" s="15"/>
      <c r="J95" s="14" t="s">
        <v>9</v>
      </c>
      <c r="K95" s="25"/>
      <c r="L95" s="26"/>
      <c r="M95" s="14"/>
      <c r="O95" t="e">
        <f>VLOOKUP(B95,'From Databricks partner portal'!E:E,1,FALSE)</f>
        <v>#N/A</v>
      </c>
    </row>
    <row r="96" spans="1:16" hidden="1">
      <c r="A96" s="14" t="s">
        <v>261</v>
      </c>
      <c r="B96" s="24" t="s">
        <v>262</v>
      </c>
      <c r="C96" s="44" t="s">
        <v>23</v>
      </c>
      <c r="D96" s="25"/>
      <c r="E96" s="25"/>
      <c r="F96" s="14" t="s">
        <v>24</v>
      </c>
      <c r="G96" s="14" t="s">
        <v>24</v>
      </c>
      <c r="H96" s="27"/>
      <c r="I96" s="15"/>
      <c r="J96" s="14" t="s">
        <v>9</v>
      </c>
      <c r="K96" s="25"/>
      <c r="L96" s="26"/>
      <c r="M96" s="14"/>
      <c r="O96" t="e">
        <f>VLOOKUP(B96,'From Databricks partner portal'!E:E,1,FALSE)</f>
        <v>#N/A</v>
      </c>
    </row>
    <row r="97" spans="1:15" hidden="1">
      <c r="A97" s="14" t="s">
        <v>263</v>
      </c>
      <c r="B97" s="24" t="s">
        <v>264</v>
      </c>
      <c r="C97" s="44" t="s">
        <v>23</v>
      </c>
      <c r="D97" s="14"/>
      <c r="E97" s="14"/>
      <c r="F97" t="s">
        <v>24</v>
      </c>
      <c r="G97" t="s">
        <v>24</v>
      </c>
      <c r="H97" s="15"/>
      <c r="I97" s="15"/>
      <c r="J97" s="14" t="s">
        <v>9</v>
      </c>
      <c r="K97" s="14"/>
      <c r="L97" s="22"/>
      <c r="M97" s="14"/>
      <c r="O97" t="e">
        <f>VLOOKUP(B97,'From Databricks partner portal'!E:E,1,FALSE)</f>
        <v>#N/A</v>
      </c>
    </row>
    <row r="98" spans="1:15" hidden="1">
      <c r="A98" s="25" t="s">
        <v>265</v>
      </c>
      <c r="B98" s="43" t="s">
        <v>266</v>
      </c>
      <c r="C98" s="44" t="s">
        <v>23</v>
      </c>
      <c r="D98" s="25"/>
      <c r="E98" s="25"/>
      <c r="F98" s="25" t="s">
        <v>24</v>
      </c>
      <c r="G98" s="14" t="s">
        <v>24</v>
      </c>
      <c r="H98" s="27"/>
      <c r="I98" s="15"/>
      <c r="J98" s="14" t="s">
        <v>9</v>
      </c>
      <c r="K98" s="25"/>
      <c r="L98" s="26"/>
      <c r="M98" s="14"/>
      <c r="O98" t="e">
        <f>VLOOKUP(B98,'From Databricks partner portal'!E:E,1,FALSE)</f>
        <v>#N/A</v>
      </c>
    </row>
    <row r="99" spans="1:15" hidden="1">
      <c r="A99" s="25" t="s">
        <v>267</v>
      </c>
      <c r="B99" s="43" t="s">
        <v>268</v>
      </c>
      <c r="C99" s="44" t="s">
        <v>23</v>
      </c>
      <c r="D99" s="25"/>
      <c r="F99" s="25" t="s">
        <v>24</v>
      </c>
      <c r="G99" s="25" t="s">
        <v>24</v>
      </c>
      <c r="H99" s="27"/>
      <c r="I99" s="100"/>
      <c r="J99" s="25" t="s">
        <v>9</v>
      </c>
      <c r="K99" s="25"/>
      <c r="L99" s="26"/>
      <c r="M99" s="14"/>
      <c r="O99" t="e">
        <f>VLOOKUP(B99,'From Databricks partner portal'!E:E,1,FALSE)</f>
        <v>#N/A</v>
      </c>
    </row>
    <row r="100" spans="1:15">
      <c r="A100" s="22" t="s">
        <v>269</v>
      </c>
      <c r="B100" s="24" t="s">
        <v>270</v>
      </c>
      <c r="C100" s="7" t="s">
        <v>2</v>
      </c>
      <c r="D100" s="36" t="s">
        <v>36</v>
      </c>
      <c r="E100" s="36" t="s">
        <v>271</v>
      </c>
      <c r="F100" s="36" t="s">
        <v>94</v>
      </c>
      <c r="G100" s="39" t="s">
        <v>30</v>
      </c>
      <c r="H100" s="15">
        <v>45932</v>
      </c>
      <c r="I100" s="15">
        <v>45930</v>
      </c>
      <c r="J100" s="14" t="s">
        <v>9</v>
      </c>
      <c r="K100" s="46"/>
      <c r="L100" s="14"/>
      <c r="M100" s="46"/>
      <c r="O100" t="e">
        <f>VLOOKUP(B100,'From Databricks partner portal'!E:E,1,FALSE)</f>
        <v>#N/A</v>
      </c>
    </row>
    <row r="101" spans="1:15" hidden="1">
      <c r="A101" s="22" t="s">
        <v>272</v>
      </c>
      <c r="B101" s="35" t="s">
        <v>273</v>
      </c>
      <c r="C101" s="44" t="s">
        <v>23</v>
      </c>
      <c r="D101" s="36"/>
      <c r="E101" s="36"/>
      <c r="F101" s="14" t="s">
        <v>24</v>
      </c>
      <c r="G101" s="14" t="s">
        <v>24</v>
      </c>
      <c r="H101" s="49"/>
      <c r="I101" s="101"/>
      <c r="J101" s="50" t="s">
        <v>9</v>
      </c>
      <c r="K101" s="47"/>
      <c r="L101" s="48"/>
      <c r="M101" s="14"/>
      <c r="O101" t="e">
        <f>VLOOKUP(B101,'From Databricks partner portal'!E:E,1,FALSE)</f>
        <v>#N/A</v>
      </c>
    </row>
    <row r="102" spans="1:15" hidden="1">
      <c r="A102" s="22" t="s">
        <v>274</v>
      </c>
      <c r="B102" s="35" t="s">
        <v>275</v>
      </c>
      <c r="C102" s="44" t="s">
        <v>23</v>
      </c>
      <c r="D102" s="36"/>
      <c r="E102" s="36"/>
      <c r="F102" s="14" t="s">
        <v>24</v>
      </c>
      <c r="G102" s="14" t="s">
        <v>24</v>
      </c>
      <c r="H102" s="15"/>
      <c r="I102" s="99"/>
      <c r="J102" s="25" t="s">
        <v>9</v>
      </c>
      <c r="K102" s="14"/>
      <c r="L102" s="22"/>
      <c r="M102" s="14"/>
      <c r="O102" t="e">
        <f>VLOOKUP(B102,'From Databricks partner portal'!E:E,1,FALSE)</f>
        <v>#N/A</v>
      </c>
    </row>
    <row r="103" spans="1:15" hidden="1">
      <c r="A103" s="22" t="s">
        <v>276</v>
      </c>
      <c r="B103" s="38" t="s">
        <v>277</v>
      </c>
      <c r="C103" s="3" t="s">
        <v>23</v>
      </c>
      <c r="D103" s="36" t="s">
        <v>36</v>
      </c>
      <c r="E103" s="36"/>
      <c r="F103" s="14" t="s">
        <v>38</v>
      </c>
      <c r="G103" s="14" t="s">
        <v>20</v>
      </c>
      <c r="H103" s="15"/>
      <c r="I103" s="15"/>
      <c r="J103" s="25" t="s">
        <v>9</v>
      </c>
      <c r="K103" s="14"/>
      <c r="L103" s="22"/>
      <c r="M103" s="14" t="s">
        <v>46</v>
      </c>
      <c r="O103" t="e">
        <f>VLOOKUP(B103,'From Databricks partner portal'!E:E,1,FALSE)</f>
        <v>#N/A</v>
      </c>
    </row>
    <row r="104" spans="1:15">
      <c r="A104" s="22" t="s">
        <v>278</v>
      </c>
      <c r="B104" s="35" t="s">
        <v>279</v>
      </c>
      <c r="C104" s="42" t="s">
        <v>2</v>
      </c>
      <c r="D104" s="36" t="s">
        <v>280</v>
      </c>
      <c r="E104" s="36"/>
      <c r="F104" s="14" t="s">
        <v>281</v>
      </c>
      <c r="G104" s="14" t="s">
        <v>282</v>
      </c>
      <c r="H104" s="15">
        <v>45940</v>
      </c>
      <c r="I104" s="15">
        <v>45930</v>
      </c>
      <c r="J104" s="25" t="s">
        <v>9</v>
      </c>
      <c r="K104" s="14"/>
      <c r="L104" s="22"/>
      <c r="M104" s="14"/>
      <c r="O104" t="e">
        <f>VLOOKUP(B104,'From Databricks partner portal'!E:E,1,FALSE)</f>
        <v>#N/A</v>
      </c>
    </row>
    <row r="105" spans="1:15" hidden="1">
      <c r="A105" s="22" t="s">
        <v>283</v>
      </c>
      <c r="B105" s="24" t="s">
        <v>284</v>
      </c>
      <c r="C105" s="44" t="s">
        <v>23</v>
      </c>
      <c r="D105" s="36"/>
      <c r="E105" s="36"/>
      <c r="F105" s="14" t="s">
        <v>50</v>
      </c>
      <c r="G105" s="18" t="s">
        <v>50</v>
      </c>
      <c r="H105" s="15"/>
      <c r="I105" s="15"/>
      <c r="J105" s="14" t="s">
        <v>9</v>
      </c>
      <c r="K105" s="14"/>
      <c r="L105" s="22"/>
      <c r="M105" s="14"/>
      <c r="O105" t="e">
        <f>VLOOKUP(B105,'From Databricks partner portal'!E:E,1,FALSE)</f>
        <v>#N/A</v>
      </c>
    </row>
    <row r="106" spans="1:15" hidden="1">
      <c r="A106" s="59" t="s">
        <v>285</v>
      </c>
      <c r="B106" s="24" t="s">
        <v>286</v>
      </c>
      <c r="C106" s="44" t="s">
        <v>23</v>
      </c>
      <c r="D106" s="36"/>
      <c r="E106" s="36"/>
      <c r="F106" s="14" t="s">
        <v>87</v>
      </c>
      <c r="G106" s="18" t="s">
        <v>30</v>
      </c>
      <c r="H106" s="15"/>
      <c r="I106" s="15"/>
      <c r="J106" s="14" t="s">
        <v>9</v>
      </c>
      <c r="K106" s="14"/>
      <c r="L106" s="22"/>
      <c r="M106" s="14"/>
      <c r="O106" t="e">
        <f>VLOOKUP(B106,'From Databricks partner portal'!E:E,1,FALSE)</f>
        <v>#N/A</v>
      </c>
    </row>
    <row r="107" spans="1:15" ht="16.350000000000001" hidden="1" customHeight="1">
      <c r="A107" s="59" t="s">
        <v>287</v>
      </c>
      <c r="B107" s="24" t="s">
        <v>288</v>
      </c>
      <c r="C107" s="44" t="s">
        <v>23</v>
      </c>
      <c r="D107" s="36"/>
      <c r="E107" s="36"/>
      <c r="F107" s="14" t="s">
        <v>24</v>
      </c>
      <c r="G107" s="18" t="s">
        <v>24</v>
      </c>
      <c r="H107" s="15"/>
      <c r="I107" s="99"/>
      <c r="J107" s="14" t="s">
        <v>9</v>
      </c>
      <c r="K107" s="14"/>
      <c r="L107" s="22"/>
      <c r="M107" s="14"/>
      <c r="O107" t="e">
        <f>VLOOKUP(B107,'From Databricks partner portal'!E:E,1,FALSE)</f>
        <v>#N/A</v>
      </c>
    </row>
    <row r="108" spans="1:15" hidden="1">
      <c r="A108" s="59" t="s">
        <v>289</v>
      </c>
      <c r="B108" s="24" t="s">
        <v>290</v>
      </c>
      <c r="C108" s="44" t="s">
        <v>23</v>
      </c>
      <c r="D108" s="36"/>
      <c r="E108" s="36"/>
      <c r="F108" s="14" t="s">
        <v>50</v>
      </c>
      <c r="G108" s="18" t="s">
        <v>50</v>
      </c>
      <c r="H108" s="15"/>
      <c r="I108" s="15"/>
      <c r="J108" s="14" t="s">
        <v>9</v>
      </c>
      <c r="K108" s="14"/>
      <c r="L108" s="22"/>
      <c r="M108" s="14"/>
      <c r="O108" t="e">
        <f>VLOOKUP(B108,'From Databricks partner portal'!E:E,1,FALSE)</f>
        <v>#N/A</v>
      </c>
    </row>
    <row r="109" spans="1:15" ht="16.350000000000001" hidden="1" customHeight="1">
      <c r="A109" s="22" t="s">
        <v>291</v>
      </c>
      <c r="B109" s="35" t="s">
        <v>292</v>
      </c>
      <c r="C109" s="42" t="s">
        <v>2</v>
      </c>
      <c r="D109" s="36" t="s">
        <v>17</v>
      </c>
      <c r="E109" s="36" t="s">
        <v>17</v>
      </c>
      <c r="F109" s="14" t="s">
        <v>33</v>
      </c>
      <c r="G109" s="14" t="s">
        <v>33</v>
      </c>
      <c r="H109" s="15">
        <v>45996</v>
      </c>
      <c r="I109" s="15">
        <v>45996</v>
      </c>
      <c r="J109" s="14" t="s">
        <v>9</v>
      </c>
      <c r="K109" s="14"/>
      <c r="L109" s="22"/>
      <c r="M109" s="14"/>
      <c r="O109" t="str">
        <f>VLOOKUP(B109,'From Databricks partner portal'!E:E,1,FALSE)</f>
        <v>rushi.kardani@intuitive.ai</v>
      </c>
    </row>
    <row r="110" spans="1:15" ht="16.350000000000001" hidden="1" customHeight="1">
      <c r="A110" s="59" t="s">
        <v>293</v>
      </c>
      <c r="B110" s="66" t="s">
        <v>294</v>
      </c>
      <c r="C110" s="44" t="s">
        <v>23</v>
      </c>
      <c r="D110" s="36"/>
      <c r="E110" s="36"/>
      <c r="F110" s="14" t="s">
        <v>24</v>
      </c>
      <c r="G110" s="18" t="s">
        <v>24</v>
      </c>
      <c r="H110" s="15"/>
      <c r="I110" s="99"/>
      <c r="J110" s="14" t="s">
        <v>9</v>
      </c>
      <c r="K110" s="14"/>
      <c r="L110" s="22"/>
      <c r="M110" s="14"/>
      <c r="O110" t="e">
        <f>VLOOKUP(B110,'From Databricks partner portal'!E:E,1,FALSE)</f>
        <v>#N/A</v>
      </c>
    </row>
    <row r="111" spans="1:15">
      <c r="A111" s="22" t="s">
        <v>295</v>
      </c>
      <c r="B111" s="35" t="s">
        <v>296</v>
      </c>
      <c r="C111" s="42" t="s">
        <v>2</v>
      </c>
      <c r="D111" s="36" t="s">
        <v>36</v>
      </c>
      <c r="E111" s="36"/>
      <c r="F111" s="18" t="s">
        <v>30</v>
      </c>
      <c r="G111" s="18" t="s">
        <v>30</v>
      </c>
      <c r="H111" s="15">
        <v>45949</v>
      </c>
      <c r="I111" s="15">
        <v>45936</v>
      </c>
      <c r="J111" s="14" t="s">
        <v>9</v>
      </c>
      <c r="K111" s="14"/>
      <c r="L111" s="22"/>
      <c r="M111" s="14"/>
      <c r="O111" t="e">
        <f>VLOOKUP(B111,'From Databricks partner portal'!E:E,1,FALSE)</f>
        <v>#N/A</v>
      </c>
    </row>
    <row r="112" spans="1:15">
      <c r="A112" s="14" t="s">
        <v>297</v>
      </c>
      <c r="B112" s="24" t="s">
        <v>298</v>
      </c>
      <c r="C112" s="42" t="s">
        <v>2</v>
      </c>
      <c r="D112" s="14" t="s">
        <v>166</v>
      </c>
      <c r="E112" s="14"/>
      <c r="F112" s="14" t="s">
        <v>24</v>
      </c>
      <c r="G112" s="14" t="s">
        <v>24</v>
      </c>
      <c r="H112" s="15">
        <v>45952</v>
      </c>
      <c r="I112" s="34" t="s">
        <v>299</v>
      </c>
      <c r="J112" s="14" t="s">
        <v>9</v>
      </c>
      <c r="K112" s="14"/>
      <c r="L112" s="14"/>
      <c r="M112" s="14"/>
      <c r="O112" t="e">
        <f>VLOOKUP(B112,'From Databricks partner portal'!E:E,1,FALSE)</f>
        <v>#N/A</v>
      </c>
    </row>
    <row r="113" spans="1:16">
      <c r="A113" s="13" t="s">
        <v>300</v>
      </c>
      <c r="B113" s="24" t="s">
        <v>301</v>
      </c>
      <c r="C113" s="42" t="s">
        <v>2</v>
      </c>
      <c r="D113" s="14" t="s">
        <v>69</v>
      </c>
      <c r="E113" s="14"/>
      <c r="F113" s="14" t="s">
        <v>24</v>
      </c>
      <c r="G113" s="18" t="s">
        <v>24</v>
      </c>
      <c r="H113" s="15">
        <v>45960</v>
      </c>
      <c r="I113" s="15">
        <v>45960</v>
      </c>
      <c r="J113" s="14" t="s">
        <v>9</v>
      </c>
      <c r="K113" s="14"/>
      <c r="L113" s="14"/>
      <c r="M113" s="14"/>
      <c r="O113" t="e">
        <f>VLOOKUP(B113,'From Databricks partner portal'!E:E,1,FALSE)</f>
        <v>#N/A</v>
      </c>
    </row>
    <row r="114" spans="1:16" hidden="1">
      <c r="A114" s="102" t="s">
        <v>302</v>
      </c>
      <c r="B114" s="24" t="s">
        <v>303</v>
      </c>
      <c r="C114" s="42" t="s">
        <v>2</v>
      </c>
      <c r="D114" s="14" t="s">
        <v>166</v>
      </c>
      <c r="E114" s="14"/>
      <c r="F114" s="14" t="s">
        <v>33</v>
      </c>
      <c r="G114" s="14" t="s">
        <v>33</v>
      </c>
      <c r="H114" s="15">
        <v>46030</v>
      </c>
      <c r="I114" s="15">
        <v>46030</v>
      </c>
      <c r="J114" s="14"/>
      <c r="K114" s="14"/>
      <c r="L114" s="14"/>
      <c r="M114" s="14"/>
      <c r="O114" t="str">
        <f>VLOOKUP(B114,'From Databricks partner portal'!E:E,1,FALSE)</f>
        <v>sahal.pathan@intuitive.ai</v>
      </c>
    </row>
    <row r="115" spans="1:16">
      <c r="A115" s="13" t="s">
        <v>304</v>
      </c>
      <c r="B115" s="24" t="s">
        <v>305</v>
      </c>
      <c r="C115" s="42" t="s">
        <v>2</v>
      </c>
      <c r="D115" s="14" t="s">
        <v>36</v>
      </c>
      <c r="E115" s="14"/>
      <c r="F115" s="14" t="s">
        <v>185</v>
      </c>
      <c r="G115" s="18" t="s">
        <v>30</v>
      </c>
      <c r="H115" s="15">
        <v>45960</v>
      </c>
      <c r="I115" s="15">
        <v>45961</v>
      </c>
      <c r="J115" s="14" t="s">
        <v>9</v>
      </c>
      <c r="K115" s="14"/>
      <c r="L115" s="14"/>
      <c r="M115" s="14"/>
      <c r="O115" t="e">
        <f>VLOOKUP(B115,'From Databricks partner portal'!E:E,1,FALSE)</f>
        <v>#N/A</v>
      </c>
    </row>
    <row r="116" spans="1:16" ht="15" hidden="1" customHeight="1">
      <c r="A116" s="13" t="s">
        <v>306</v>
      </c>
      <c r="B116" s="65" t="s">
        <v>307</v>
      </c>
      <c r="C116" s="44" t="s">
        <v>23</v>
      </c>
      <c r="D116" s="14"/>
      <c r="E116" s="14"/>
      <c r="F116" s="14" t="s">
        <v>49</v>
      </c>
      <c r="G116" s="18" t="s">
        <v>50</v>
      </c>
      <c r="H116" s="15"/>
      <c r="I116" s="15"/>
      <c r="J116" s="14" t="s">
        <v>9</v>
      </c>
      <c r="K116" s="14"/>
      <c r="L116" s="14"/>
      <c r="M116" s="14"/>
      <c r="O116" t="e">
        <f>VLOOKUP(B116,'From Databricks partner portal'!E:E,1,FALSE)</f>
        <v>#N/A</v>
      </c>
    </row>
    <row r="117" spans="1:16">
      <c r="A117" s="13" t="s">
        <v>308</v>
      </c>
      <c r="B117" s="24" t="s">
        <v>309</v>
      </c>
      <c r="C117" s="42" t="s">
        <v>2</v>
      </c>
      <c r="D117" s="14" t="s">
        <v>166</v>
      </c>
      <c r="E117" s="14"/>
      <c r="F117" s="14" t="s">
        <v>94</v>
      </c>
      <c r="G117" s="18" t="s">
        <v>30</v>
      </c>
      <c r="H117" s="15">
        <v>45961</v>
      </c>
      <c r="I117" s="15">
        <v>45961</v>
      </c>
      <c r="J117" s="14" t="s">
        <v>9</v>
      </c>
      <c r="K117" s="14"/>
      <c r="L117" s="14"/>
      <c r="M117" s="14"/>
      <c r="O117" t="e">
        <f>VLOOKUP(B117,'From Databricks partner portal'!E:E,1,FALSE)</f>
        <v>#N/A</v>
      </c>
      <c r="P117" t="s">
        <v>65</v>
      </c>
    </row>
    <row r="118" spans="1:16">
      <c r="A118" s="13" t="s">
        <v>310</v>
      </c>
      <c r="B118" s="24" t="s">
        <v>311</v>
      </c>
      <c r="C118" s="42" t="s">
        <v>2</v>
      </c>
      <c r="D118" s="14" t="s">
        <v>166</v>
      </c>
      <c r="E118" s="14"/>
      <c r="F118" s="14" t="s">
        <v>30</v>
      </c>
      <c r="G118" s="18" t="s">
        <v>30</v>
      </c>
      <c r="H118" s="15">
        <v>45961</v>
      </c>
      <c r="I118" s="15">
        <v>45961</v>
      </c>
      <c r="J118" s="14" t="s">
        <v>9</v>
      </c>
      <c r="K118" s="14"/>
      <c r="L118" s="14"/>
      <c r="M118" s="14"/>
      <c r="O118" t="e">
        <f>VLOOKUP(B118,'From Databricks partner portal'!E:E,1,FALSE)</f>
        <v>#N/A</v>
      </c>
    </row>
    <row r="119" spans="1:16" ht="17.100000000000001" hidden="1">
      <c r="A119" s="13" t="s">
        <v>312</v>
      </c>
      <c r="B119" s="65" t="s">
        <v>313</v>
      </c>
      <c r="C119" s="44" t="s">
        <v>23</v>
      </c>
      <c r="D119" s="14"/>
      <c r="E119" s="14"/>
      <c r="F119" s="14" t="s">
        <v>24</v>
      </c>
      <c r="G119" s="18" t="s">
        <v>24</v>
      </c>
      <c r="H119" s="15"/>
      <c r="I119" s="99"/>
      <c r="J119" s="14" t="s">
        <v>9</v>
      </c>
      <c r="K119" s="14"/>
      <c r="L119" s="14"/>
      <c r="M119" s="14"/>
      <c r="O119" t="e">
        <f>VLOOKUP(B119,'From Databricks partner portal'!E:E,1,FALSE)</f>
        <v>#N/A</v>
      </c>
    </row>
    <row r="120" spans="1:16" ht="17.100000000000001" hidden="1">
      <c r="A120" s="14" t="s">
        <v>314</v>
      </c>
      <c r="B120" s="65" t="s">
        <v>315</v>
      </c>
      <c r="C120" s="44" t="s">
        <v>23</v>
      </c>
      <c r="D120" s="14"/>
      <c r="E120" s="14"/>
      <c r="F120" s="14" t="s">
        <v>50</v>
      </c>
      <c r="G120" s="18" t="s">
        <v>50</v>
      </c>
      <c r="H120" s="15"/>
      <c r="I120" s="15"/>
      <c r="J120" s="14" t="s">
        <v>9</v>
      </c>
      <c r="K120" s="14"/>
      <c r="L120" s="14"/>
      <c r="M120" s="14"/>
      <c r="O120" t="e">
        <f>VLOOKUP(B120,'From Databricks partner portal'!E:E,1,FALSE)</f>
        <v>#N/A</v>
      </c>
    </row>
    <row r="121" spans="1:16" hidden="1">
      <c r="A121" s="22" t="s">
        <v>316</v>
      </c>
      <c r="B121" s="35" t="s">
        <v>317</v>
      </c>
      <c r="C121" s="42" t="s">
        <v>2</v>
      </c>
      <c r="D121" s="14" t="s">
        <v>17</v>
      </c>
      <c r="E121" s="36"/>
      <c r="F121" s="14" t="s">
        <v>33</v>
      </c>
      <c r="G121" s="14" t="s">
        <v>33</v>
      </c>
      <c r="H121" s="15">
        <v>46006</v>
      </c>
      <c r="I121" s="15">
        <v>46006</v>
      </c>
      <c r="J121" s="14" t="s">
        <v>9</v>
      </c>
      <c r="K121" s="14"/>
      <c r="L121" s="22"/>
      <c r="M121" s="14"/>
      <c r="O121" t="str">
        <f>VLOOKUP(B121,'From Databricks partner portal'!E:E,1,FALSE)</f>
        <v>shantanu.hiwrale@intuitive.ai</v>
      </c>
    </row>
    <row r="122" spans="1:16" hidden="1">
      <c r="A122" s="22" t="s">
        <v>318</v>
      </c>
      <c r="B122" s="35" t="s">
        <v>319</v>
      </c>
      <c r="C122" s="44" t="s">
        <v>23</v>
      </c>
      <c r="D122" s="14"/>
      <c r="E122" s="36"/>
      <c r="F122" s="14" t="s">
        <v>90</v>
      </c>
      <c r="G122" s="14" t="s">
        <v>20</v>
      </c>
      <c r="H122" s="15"/>
      <c r="I122" s="15"/>
      <c r="J122" s="14"/>
      <c r="K122" s="14"/>
      <c r="L122" s="22"/>
      <c r="M122" s="14"/>
      <c r="O122" t="e">
        <f>VLOOKUP(B122,'From Databricks partner portal'!E:E,1,FALSE)</f>
        <v>#N/A</v>
      </c>
    </row>
    <row r="123" spans="1:16">
      <c r="A123" s="22" t="s">
        <v>320</v>
      </c>
      <c r="B123" s="35" t="s">
        <v>321</v>
      </c>
      <c r="C123" s="42" t="s">
        <v>2</v>
      </c>
      <c r="D123" s="14" t="s">
        <v>69</v>
      </c>
      <c r="E123" s="36"/>
      <c r="F123" s="14" t="s">
        <v>20</v>
      </c>
      <c r="G123" s="14" t="s">
        <v>20</v>
      </c>
      <c r="H123" s="27">
        <v>45961</v>
      </c>
      <c r="I123" s="27">
        <v>45961</v>
      </c>
      <c r="J123" s="14" t="s">
        <v>9</v>
      </c>
      <c r="K123" s="14"/>
      <c r="L123" s="22"/>
      <c r="M123" s="14"/>
      <c r="O123" t="e">
        <f>VLOOKUP(B123,'From Databricks partner portal'!E:E,1,FALSE)</f>
        <v>#N/A</v>
      </c>
    </row>
    <row r="124" spans="1:16" hidden="1">
      <c r="A124" s="22" t="s">
        <v>322</v>
      </c>
      <c r="B124" s="35" t="s">
        <v>323</v>
      </c>
      <c r="C124" s="42" t="s">
        <v>2</v>
      </c>
      <c r="D124" s="14" t="s">
        <v>17</v>
      </c>
      <c r="E124" s="36"/>
      <c r="F124" s="14" t="s">
        <v>33</v>
      </c>
      <c r="G124" s="14" t="s">
        <v>33</v>
      </c>
      <c r="H124" s="15">
        <v>46006</v>
      </c>
      <c r="I124" s="15">
        <v>46006</v>
      </c>
      <c r="J124" s="14" t="s">
        <v>9</v>
      </c>
      <c r="K124" s="14"/>
      <c r="L124" s="22"/>
      <c r="M124" s="14"/>
      <c r="O124" t="str">
        <f>VLOOKUP(B124,'From Databricks partner portal'!E:E,1,FALSE)</f>
        <v>shourya.nahar@intuitive.ai</v>
      </c>
    </row>
    <row r="125" spans="1:16" hidden="1">
      <c r="A125" s="22" t="s">
        <v>324</v>
      </c>
      <c r="B125" s="35" t="s">
        <v>325</v>
      </c>
      <c r="C125" s="44" t="s">
        <v>23</v>
      </c>
      <c r="D125" s="14"/>
      <c r="E125" s="36"/>
      <c r="F125" s="14" t="s">
        <v>50</v>
      </c>
      <c r="G125" s="18" t="s">
        <v>50</v>
      </c>
      <c r="H125" s="15"/>
      <c r="I125" s="15"/>
      <c r="J125" s="14" t="s">
        <v>9</v>
      </c>
      <c r="K125" s="14"/>
      <c r="L125" s="22"/>
      <c r="M125" s="14"/>
      <c r="O125" t="e">
        <f>VLOOKUP(B125,'From Databricks partner portal'!E:E,1,FALSE)</f>
        <v>#N/A</v>
      </c>
    </row>
    <row r="126" spans="1:16" hidden="1">
      <c r="A126" s="22" t="s">
        <v>326</v>
      </c>
      <c r="B126" s="35" t="s">
        <v>327</v>
      </c>
      <c r="C126" s="42" t="s">
        <v>2</v>
      </c>
      <c r="D126" s="14" t="s">
        <v>17</v>
      </c>
      <c r="E126" s="36" t="s">
        <v>17</v>
      </c>
      <c r="F126" s="14" t="s">
        <v>33</v>
      </c>
      <c r="G126" s="14" t="s">
        <v>33</v>
      </c>
      <c r="H126" s="27">
        <v>45996</v>
      </c>
      <c r="I126" s="27">
        <v>45996</v>
      </c>
      <c r="J126" s="14" t="s">
        <v>9</v>
      </c>
      <c r="K126" s="14"/>
      <c r="L126" s="22"/>
      <c r="M126" s="14"/>
      <c r="O126" t="str">
        <f>VLOOKUP(B126,'From Databricks partner portal'!E:E,1,FALSE)</f>
        <v>shriram.sabade@intuitive.ai</v>
      </c>
    </row>
    <row r="127" spans="1:16" hidden="1">
      <c r="A127" s="22" t="s">
        <v>328</v>
      </c>
      <c r="B127" s="35" t="s">
        <v>329</v>
      </c>
      <c r="C127" s="42" t="s">
        <v>2</v>
      </c>
      <c r="D127" s="14" t="s">
        <v>17</v>
      </c>
      <c r="E127" s="36"/>
      <c r="F127" s="14" t="s">
        <v>33</v>
      </c>
      <c r="G127" s="22" t="s">
        <v>33</v>
      </c>
      <c r="H127" s="15">
        <v>46006</v>
      </c>
      <c r="I127" s="15">
        <v>46006</v>
      </c>
      <c r="J127" s="14" t="s">
        <v>9</v>
      </c>
      <c r="K127" s="14"/>
      <c r="L127" s="22"/>
      <c r="M127" s="14"/>
      <c r="O127" t="str">
        <f>VLOOKUP(B127,'From Databricks partner portal'!E:E,1,FALSE)</f>
        <v>smit.gandhi@intuitive.ai</v>
      </c>
    </row>
    <row r="128" spans="1:16">
      <c r="A128" s="59" t="s">
        <v>330</v>
      </c>
      <c r="B128" s="35" t="s">
        <v>331</v>
      </c>
      <c r="C128" s="42" t="s">
        <v>2</v>
      </c>
      <c r="D128" s="14" t="s">
        <v>332</v>
      </c>
      <c r="E128" s="36"/>
      <c r="F128" s="14" t="s">
        <v>71</v>
      </c>
      <c r="G128" s="71" t="s">
        <v>71</v>
      </c>
      <c r="H128" s="15">
        <v>45969</v>
      </c>
      <c r="I128" s="15"/>
      <c r="J128" s="46" t="s">
        <v>9</v>
      </c>
      <c r="K128" s="14"/>
      <c r="L128" s="22"/>
      <c r="M128" s="14"/>
      <c r="O128" t="e">
        <f>VLOOKUP(B128,'From Databricks partner portal'!E:E,1,FALSE)</f>
        <v>#N/A</v>
      </c>
    </row>
    <row r="129" spans="1:15" hidden="1">
      <c r="A129" s="22" t="s">
        <v>333</v>
      </c>
      <c r="B129" s="35" t="s">
        <v>334</v>
      </c>
      <c r="C129" s="42" t="s">
        <v>2</v>
      </c>
      <c r="D129" s="14" t="s">
        <v>17</v>
      </c>
      <c r="E129" s="36"/>
      <c r="F129" s="14" t="s">
        <v>33</v>
      </c>
      <c r="G129" s="22" t="s">
        <v>33</v>
      </c>
      <c r="H129" s="15">
        <v>46006</v>
      </c>
      <c r="I129" s="15">
        <v>46006</v>
      </c>
      <c r="J129" s="14" t="s">
        <v>9</v>
      </c>
      <c r="K129" s="14"/>
      <c r="L129" s="22"/>
      <c r="M129" s="14"/>
      <c r="O129" t="str">
        <f>VLOOKUP(B129,'From Databricks partner portal'!E:E,1,FALSE)</f>
        <v>srushti.moghe@intuitive.ai</v>
      </c>
    </row>
    <row r="130" spans="1:15">
      <c r="A130" s="22" t="s">
        <v>335</v>
      </c>
      <c r="B130" s="35" t="s">
        <v>336</v>
      </c>
      <c r="C130" s="42" t="s">
        <v>2</v>
      </c>
      <c r="D130" s="14" t="s">
        <v>337</v>
      </c>
      <c r="E130" s="36"/>
      <c r="F130" s="14" t="s">
        <v>50</v>
      </c>
      <c r="G130" s="71" t="s">
        <v>50</v>
      </c>
      <c r="H130" s="15">
        <v>45992</v>
      </c>
      <c r="I130" s="15"/>
      <c r="J130" s="46" t="s">
        <v>9</v>
      </c>
      <c r="K130" s="14"/>
      <c r="L130" s="22"/>
      <c r="M130" s="14"/>
      <c r="O130" t="e">
        <f>VLOOKUP(B130,'From Databricks partner portal'!E:E,1,FALSE)</f>
        <v>#N/A</v>
      </c>
    </row>
    <row r="131" spans="1:15">
      <c r="A131" s="22" t="s">
        <v>338</v>
      </c>
      <c r="B131" s="35" t="s">
        <v>339</v>
      </c>
      <c r="C131" s="42" t="s">
        <v>2</v>
      </c>
      <c r="D131" s="14" t="s">
        <v>17</v>
      </c>
      <c r="E131" s="36" t="s">
        <v>17</v>
      </c>
      <c r="F131" s="14" t="s">
        <v>33</v>
      </c>
      <c r="G131" s="22" t="s">
        <v>33</v>
      </c>
      <c r="H131" s="15">
        <v>45996</v>
      </c>
      <c r="I131" s="15">
        <v>45996</v>
      </c>
      <c r="J131" s="46" t="s">
        <v>9</v>
      </c>
      <c r="K131" s="14"/>
      <c r="L131" s="22"/>
      <c r="M131" s="14"/>
      <c r="O131" t="e">
        <f>VLOOKUP(B131,'From Databricks partner portal'!E:E,1,FALSE)</f>
        <v>#N/A</v>
      </c>
    </row>
    <row r="132" spans="1:15" ht="16.350000000000001" customHeight="1">
      <c r="A132" s="22" t="s">
        <v>340</v>
      </c>
      <c r="B132" s="35" t="s">
        <v>341</v>
      </c>
      <c r="C132" s="42" t="s">
        <v>2</v>
      </c>
      <c r="D132" s="36" t="s">
        <v>17</v>
      </c>
      <c r="E132" s="36" t="s">
        <v>17</v>
      </c>
      <c r="F132" s="14" t="s">
        <v>33</v>
      </c>
      <c r="G132" s="22" t="s">
        <v>33</v>
      </c>
      <c r="H132" s="15">
        <v>45996</v>
      </c>
      <c r="I132" s="15">
        <v>45996</v>
      </c>
      <c r="J132" s="46" t="s">
        <v>9</v>
      </c>
      <c r="K132" s="14"/>
      <c r="L132" s="22"/>
      <c r="M132" s="14"/>
      <c r="O132" t="e">
        <f>VLOOKUP(B132,'From Databricks partner portal'!E:E,1,FALSE)</f>
        <v>#N/A</v>
      </c>
    </row>
    <row r="133" spans="1:15" ht="16.350000000000001" hidden="1" customHeight="1">
      <c r="A133" s="59" t="s">
        <v>342</v>
      </c>
      <c r="B133" s="35" t="s">
        <v>343</v>
      </c>
      <c r="C133" s="44" t="s">
        <v>23</v>
      </c>
      <c r="D133" s="36"/>
      <c r="E133" s="36"/>
      <c r="F133" s="14" t="s">
        <v>344</v>
      </c>
      <c r="G133" s="71" t="s">
        <v>30</v>
      </c>
      <c r="H133" s="15"/>
      <c r="I133" s="15"/>
      <c r="J133" s="46" t="s">
        <v>9</v>
      </c>
      <c r="K133" s="14"/>
      <c r="L133" s="22"/>
      <c r="M133" s="14"/>
      <c r="O133" t="e">
        <f>VLOOKUP(B133,'From Databricks partner portal'!E:E,1,FALSE)</f>
        <v>#N/A</v>
      </c>
    </row>
    <row r="134" spans="1:15" hidden="1">
      <c r="A134" s="22" t="s">
        <v>345</v>
      </c>
      <c r="B134" s="35" t="s">
        <v>346</v>
      </c>
      <c r="C134" s="42" t="s">
        <v>2</v>
      </c>
      <c r="D134" s="36" t="s">
        <v>17</v>
      </c>
      <c r="E134" s="36" t="s">
        <v>17</v>
      </c>
      <c r="F134" s="14" t="s">
        <v>33</v>
      </c>
      <c r="G134" s="22" t="s">
        <v>33</v>
      </c>
      <c r="H134" s="15">
        <v>45996</v>
      </c>
      <c r="I134" s="15">
        <v>45996</v>
      </c>
      <c r="J134" s="14" t="s">
        <v>9</v>
      </c>
      <c r="K134" s="14"/>
      <c r="L134" s="22"/>
      <c r="M134" s="14"/>
      <c r="O134" t="str">
        <f>VLOOKUP(B134,'From Databricks partner portal'!E:E,1,FALSE)</f>
        <v>suyash.srivastava@intuitive.ai</v>
      </c>
    </row>
    <row r="135" spans="1:15">
      <c r="A135" s="22" t="s">
        <v>347</v>
      </c>
      <c r="B135" s="35" t="s">
        <v>348</v>
      </c>
      <c r="C135" s="42" t="s">
        <v>2</v>
      </c>
      <c r="D135" s="36" t="s">
        <v>17</v>
      </c>
      <c r="E135" s="36" t="s">
        <v>17</v>
      </c>
      <c r="F135" s="14" t="s">
        <v>33</v>
      </c>
      <c r="G135" s="22" t="s">
        <v>33</v>
      </c>
      <c r="H135" s="15">
        <v>46006</v>
      </c>
      <c r="I135" s="15">
        <v>45996</v>
      </c>
      <c r="J135" s="46" t="s">
        <v>9</v>
      </c>
      <c r="K135" s="14"/>
      <c r="L135" s="22"/>
      <c r="M135" s="14"/>
      <c r="O135" t="e">
        <f>VLOOKUP(B135,'From Databricks partner portal'!E:E,1,FALSE)</f>
        <v>#N/A</v>
      </c>
    </row>
    <row r="136" spans="1:15" ht="16.350000000000001" hidden="1" customHeight="1">
      <c r="A136" s="59" t="s">
        <v>349</v>
      </c>
      <c r="B136" s="35" t="s">
        <v>350</v>
      </c>
      <c r="C136" s="44" t="s">
        <v>23</v>
      </c>
      <c r="D136" s="36"/>
      <c r="E136" s="36"/>
      <c r="F136" s="28" t="s">
        <v>102</v>
      </c>
      <c r="G136" s="71" t="s">
        <v>30</v>
      </c>
      <c r="H136" s="15"/>
      <c r="I136" s="15"/>
      <c r="J136" s="46" t="s">
        <v>9</v>
      </c>
      <c r="K136" s="14"/>
      <c r="L136" s="22"/>
      <c r="M136" s="14"/>
      <c r="O136" t="e">
        <f>VLOOKUP(B136,'From Databricks partner portal'!E:E,1,FALSE)</f>
        <v>#N/A</v>
      </c>
    </row>
    <row r="137" spans="1:15" hidden="1">
      <c r="A137" s="59" t="s">
        <v>351</v>
      </c>
      <c r="B137" s="35" t="s">
        <v>352</v>
      </c>
      <c r="C137" s="44" t="s">
        <v>23</v>
      </c>
      <c r="D137" s="36"/>
      <c r="E137" s="36"/>
      <c r="F137" s="14" t="s">
        <v>102</v>
      </c>
      <c r="G137" s="71" t="s">
        <v>30</v>
      </c>
      <c r="H137" s="15"/>
      <c r="I137" s="15"/>
      <c r="J137" s="46" t="s">
        <v>9</v>
      </c>
      <c r="K137" s="14"/>
      <c r="L137" s="22"/>
      <c r="M137" s="14"/>
      <c r="O137" t="e">
        <f>VLOOKUP(B137,'From Databricks partner portal'!E:E,1,FALSE)</f>
        <v>#N/A</v>
      </c>
    </row>
    <row r="138" spans="1:15">
      <c r="A138" s="22" t="s">
        <v>353</v>
      </c>
      <c r="B138" s="35" t="s">
        <v>354</v>
      </c>
      <c r="C138" s="42" t="s">
        <v>2</v>
      </c>
      <c r="D138" s="36" t="s">
        <v>166</v>
      </c>
      <c r="E138" s="36"/>
      <c r="F138" s="14" t="s">
        <v>94</v>
      </c>
      <c r="G138" s="71" t="s">
        <v>33</v>
      </c>
      <c r="H138" s="15">
        <v>46006</v>
      </c>
      <c r="I138" s="15">
        <v>46006</v>
      </c>
      <c r="J138" s="46" t="s">
        <v>9</v>
      </c>
      <c r="K138" s="14"/>
      <c r="L138" s="22"/>
      <c r="M138" s="14"/>
      <c r="O138" t="e">
        <f>VLOOKUP(B138,'From Databricks partner portal'!E:E,1,FALSE)</f>
        <v>#N/A</v>
      </c>
    </row>
    <row r="139" spans="1:15" ht="17.100000000000001" hidden="1">
      <c r="A139" s="61" t="s">
        <v>355</v>
      </c>
      <c r="B139" s="63" t="s">
        <v>356</v>
      </c>
      <c r="C139" s="7" t="s">
        <v>68</v>
      </c>
      <c r="D139" s="37" t="s">
        <v>357</v>
      </c>
      <c r="E139" s="37"/>
      <c r="F139" s="25" t="s">
        <v>358</v>
      </c>
      <c r="G139" s="72" t="s">
        <v>71</v>
      </c>
      <c r="H139" s="15">
        <v>45929</v>
      </c>
      <c r="I139" s="15">
        <v>45930</v>
      </c>
      <c r="J139" s="73" t="s">
        <v>9</v>
      </c>
      <c r="K139" s="25"/>
      <c r="L139" s="26"/>
      <c r="M139" s="25"/>
      <c r="O139" t="e">
        <f>VLOOKUP(B139,'From Databricks partner portal'!E:E,1,FALSE)</f>
        <v>#N/A</v>
      </c>
    </row>
    <row r="140" spans="1:15" hidden="1">
      <c r="A140" s="13" t="s">
        <v>359</v>
      </c>
      <c r="B140" s="35" t="s">
        <v>360</v>
      </c>
      <c r="C140" s="3" t="s">
        <v>23</v>
      </c>
      <c r="D140" s="14" t="s">
        <v>36</v>
      </c>
      <c r="E140" s="14"/>
      <c r="F140" s="14" t="s">
        <v>102</v>
      </c>
      <c r="G140" s="71" t="s">
        <v>30</v>
      </c>
      <c r="H140" s="15"/>
      <c r="I140" s="15"/>
      <c r="J140" s="46" t="s">
        <v>9</v>
      </c>
      <c r="K140" s="14"/>
      <c r="L140" s="14"/>
      <c r="M140" s="14" t="s">
        <v>46</v>
      </c>
      <c r="O140" t="e">
        <f>VLOOKUP(B140,'From Databricks partner portal'!E:E,1,FALSE)</f>
        <v>#N/A</v>
      </c>
    </row>
    <row r="141" spans="1:15" hidden="1">
      <c r="A141" s="52" t="s">
        <v>361</v>
      </c>
      <c r="B141" s="24" t="s">
        <v>362</v>
      </c>
      <c r="C141" s="42" t="s">
        <v>2</v>
      </c>
      <c r="D141" s="14" t="s">
        <v>166</v>
      </c>
      <c r="E141" s="14"/>
      <c r="F141" s="14" t="s">
        <v>33</v>
      </c>
      <c r="G141" s="22" t="s">
        <v>33</v>
      </c>
      <c r="H141" s="15">
        <v>46030</v>
      </c>
      <c r="I141" s="15">
        <v>46030</v>
      </c>
      <c r="J141" s="46"/>
      <c r="K141" s="14"/>
      <c r="L141" s="14"/>
      <c r="M141" s="14"/>
      <c r="O141" t="str">
        <f>VLOOKUP(B141,'From Databricks partner portal'!E:E,1,FALSE)</f>
        <v>vasu.bhimani@intuitive.ai</v>
      </c>
    </row>
    <row r="142" spans="1:15" hidden="1">
      <c r="A142" s="14" t="s">
        <v>363</v>
      </c>
      <c r="B142" s="24" t="s">
        <v>364</v>
      </c>
      <c r="C142" s="44" t="s">
        <v>23</v>
      </c>
      <c r="D142" s="14"/>
      <c r="E142" s="14"/>
      <c r="F142" s="14" t="s">
        <v>134</v>
      </c>
      <c r="G142" s="22" t="s">
        <v>20</v>
      </c>
      <c r="H142" s="15"/>
      <c r="I142" s="15"/>
      <c r="J142" s="46"/>
      <c r="K142" s="14"/>
      <c r="L142" s="14"/>
      <c r="M142" s="14"/>
      <c r="O142" t="e">
        <f>VLOOKUP(B142,'From Databricks partner portal'!E:E,1,FALSE)</f>
        <v>#N/A</v>
      </c>
    </row>
    <row r="143" spans="1:15">
      <c r="A143" s="14" t="s">
        <v>365</v>
      </c>
      <c r="B143" s="14"/>
      <c r="C143" s="42" t="s">
        <v>2</v>
      </c>
      <c r="D143" s="14" t="s">
        <v>17</v>
      </c>
      <c r="E143" s="14"/>
      <c r="F143" s="14" t="s">
        <v>33</v>
      </c>
      <c r="G143" s="22" t="s">
        <v>33</v>
      </c>
      <c r="H143" s="15">
        <v>46027</v>
      </c>
      <c r="I143" s="15">
        <v>46027</v>
      </c>
      <c r="J143" s="14" t="s">
        <v>9</v>
      </c>
      <c r="K143" s="14"/>
      <c r="L143" s="14"/>
      <c r="M143" s="14"/>
      <c r="O143" t="e">
        <f>VLOOKUP(B143,'From Databricks partner portal'!E:E,1,FALSE)</f>
        <v>#N/A</v>
      </c>
    </row>
    <row r="144" spans="1:15" ht="17.100000000000001">
      <c r="A144" s="14" t="s">
        <v>366</v>
      </c>
      <c r="B144" s="96" t="s">
        <v>367</v>
      </c>
      <c r="C144" s="42" t="s">
        <v>2</v>
      </c>
      <c r="D144" s="14" t="s">
        <v>69</v>
      </c>
      <c r="E144" s="14"/>
      <c r="F144" s="14" t="s">
        <v>358</v>
      </c>
      <c r="G144" s="22" t="s">
        <v>71</v>
      </c>
      <c r="H144" s="15">
        <v>46051</v>
      </c>
      <c r="I144" s="15"/>
      <c r="J144" s="46"/>
      <c r="K144" s="14"/>
      <c r="L144" s="14"/>
      <c r="M144" s="14"/>
      <c r="O144" t="e">
        <f>VLOOKUP(B144,'From Databricks partner portal'!E:E,1,FALSE)</f>
        <v>#N/A</v>
      </c>
    </row>
    <row r="145" spans="1:15" hidden="1">
      <c r="A145" s="14" t="s">
        <v>368</v>
      </c>
      <c r="B145" s="24" t="s">
        <v>369</v>
      </c>
      <c r="C145" s="44" t="s">
        <v>23</v>
      </c>
      <c r="D145" s="14" t="s">
        <v>36</v>
      </c>
      <c r="E145" s="14"/>
      <c r="F145" s="14" t="s">
        <v>38</v>
      </c>
      <c r="G145" s="22" t="s">
        <v>20</v>
      </c>
      <c r="H145" s="15"/>
      <c r="I145" s="15"/>
      <c r="J145" s="46" t="s">
        <v>9</v>
      </c>
      <c r="K145" s="14"/>
      <c r="L145" s="14"/>
      <c r="M145" s="25" t="s">
        <v>46</v>
      </c>
      <c r="O145" t="e">
        <f>VLOOKUP(B145,'From Databricks partner portal'!E:E,1,FALSE)</f>
        <v>#N/A</v>
      </c>
    </row>
    <row r="146" spans="1:15" hidden="1">
      <c r="A146" s="14" t="s">
        <v>370</v>
      </c>
      <c r="B146" s="74" t="s">
        <v>371</v>
      </c>
      <c r="C146" s="42" t="s">
        <v>2</v>
      </c>
      <c r="D146" s="14" t="s">
        <v>17</v>
      </c>
      <c r="E146" s="14"/>
      <c r="F146" s="14" t="s">
        <v>33</v>
      </c>
      <c r="G146" s="22" t="s">
        <v>33</v>
      </c>
      <c r="H146" s="15">
        <v>46006</v>
      </c>
      <c r="I146" s="15">
        <v>46006</v>
      </c>
      <c r="J146" s="14" t="s">
        <v>9</v>
      </c>
      <c r="K146" s="14"/>
      <c r="L146" s="22"/>
      <c r="M146" s="14"/>
      <c r="O146" t="str">
        <f>VLOOKUP(B146,'From Databricks partner portal'!E:E,1,FALSE)</f>
        <v>vraj.modi@intuitive.ai</v>
      </c>
    </row>
    <row r="147" spans="1:15" hidden="1">
      <c r="A147" s="25" t="s">
        <v>372</v>
      </c>
      <c r="B147" s="43" t="s">
        <v>373</v>
      </c>
      <c r="C147" s="42" t="s">
        <v>2</v>
      </c>
      <c r="D147" s="14" t="s">
        <v>17</v>
      </c>
      <c r="E147" s="25"/>
      <c r="F147" s="14" t="s">
        <v>33</v>
      </c>
      <c r="G147" s="22" t="s">
        <v>33</v>
      </c>
      <c r="H147" s="15">
        <v>46027</v>
      </c>
      <c r="I147" s="15">
        <v>46027</v>
      </c>
      <c r="J147" s="14" t="s">
        <v>9</v>
      </c>
      <c r="K147" s="25"/>
      <c r="L147" s="26"/>
      <c r="M147" s="14"/>
      <c r="O147" t="str">
        <f>VLOOKUP(B147,'From Databricks partner portal'!E:E,1,FALSE)</f>
        <v>tisha.patel@intuitive.ai</v>
      </c>
    </row>
    <row r="148" spans="1:15" hidden="1">
      <c r="A148" s="25" t="s">
        <v>374</v>
      </c>
      <c r="B148" s="43" t="s">
        <v>375</v>
      </c>
      <c r="C148" s="42" t="s">
        <v>2</v>
      </c>
      <c r="D148" s="14" t="s">
        <v>17</v>
      </c>
      <c r="E148" s="25"/>
      <c r="F148" s="14" t="s">
        <v>33</v>
      </c>
      <c r="G148" s="22" t="s">
        <v>33</v>
      </c>
      <c r="H148" s="15">
        <v>46027</v>
      </c>
      <c r="I148" s="15">
        <v>46027</v>
      </c>
      <c r="J148" s="14" t="s">
        <v>9</v>
      </c>
      <c r="K148" s="25"/>
      <c r="L148" s="26"/>
      <c r="M148" s="14"/>
      <c r="O148" t="str">
        <f>VLOOKUP(B148,'From Databricks partner portal'!E:E,1,FALSE)</f>
        <v>pearl.jotania@intuitive.ai</v>
      </c>
    </row>
    <row r="149" spans="1:15" hidden="1">
      <c r="A149" s="25" t="s">
        <v>376</v>
      </c>
      <c r="B149" s="43" t="s">
        <v>377</v>
      </c>
      <c r="C149" s="42" t="s">
        <v>2</v>
      </c>
      <c r="D149" s="25" t="s">
        <v>17</v>
      </c>
      <c r="E149" s="25"/>
      <c r="F149" s="14" t="s">
        <v>33</v>
      </c>
      <c r="G149" s="22" t="s">
        <v>33</v>
      </c>
      <c r="H149" s="15">
        <v>46027</v>
      </c>
      <c r="I149" s="15">
        <v>46027</v>
      </c>
      <c r="J149" s="14" t="s">
        <v>9</v>
      </c>
      <c r="K149" s="25"/>
      <c r="L149" s="26"/>
      <c r="M149" s="14"/>
      <c r="O149" t="str">
        <f>VLOOKUP(B149,'From Databricks partner portal'!E:E,1,FALSE)</f>
        <v>ayan.abbas@intuitive.ai</v>
      </c>
    </row>
    <row r="150" spans="1:15" hidden="1">
      <c r="A150" s="25" t="s">
        <v>378</v>
      </c>
      <c r="B150" s="43" t="s">
        <v>379</v>
      </c>
      <c r="C150" s="42" t="s">
        <v>2</v>
      </c>
      <c r="D150" s="14" t="s">
        <v>17</v>
      </c>
      <c r="E150" s="25"/>
      <c r="F150" s="14" t="s">
        <v>33</v>
      </c>
      <c r="G150" s="22" t="s">
        <v>33</v>
      </c>
      <c r="H150" s="15">
        <v>46027</v>
      </c>
      <c r="I150" s="15">
        <v>46027</v>
      </c>
      <c r="J150" s="14" t="s">
        <v>9</v>
      </c>
      <c r="K150" s="25"/>
      <c r="L150" s="26"/>
      <c r="M150" s="14"/>
      <c r="O150" t="str">
        <f>VLOOKUP(B150,'From Databricks partner portal'!E:E,1,FALSE)</f>
        <v>vishnu.burkhawala@intuitive.ai</v>
      </c>
    </row>
    <row r="151" spans="1:15" hidden="1">
      <c r="A151" s="25" t="s">
        <v>380</v>
      </c>
      <c r="B151" s="43" t="s">
        <v>381</v>
      </c>
      <c r="C151" s="42" t="s">
        <v>2</v>
      </c>
      <c r="D151" s="14" t="s">
        <v>17</v>
      </c>
      <c r="E151" s="25"/>
      <c r="F151" s="14" t="s">
        <v>33</v>
      </c>
      <c r="G151" s="22" t="s">
        <v>33</v>
      </c>
      <c r="H151" s="15">
        <v>46027</v>
      </c>
      <c r="I151" s="15">
        <v>46027</v>
      </c>
      <c r="J151" s="14" t="s">
        <v>9</v>
      </c>
      <c r="K151" s="25"/>
      <c r="L151" s="26"/>
      <c r="M151" s="14"/>
      <c r="O151" t="str">
        <f>VLOOKUP(B151,'From Databricks partner portal'!E:E,1,FALSE)</f>
        <v>sumit.mishra@intuitive.ai</v>
      </c>
    </row>
    <row r="152" spans="1:15" hidden="1">
      <c r="A152" s="25" t="s">
        <v>382</v>
      </c>
      <c r="B152" s="43" t="s">
        <v>383</v>
      </c>
      <c r="C152" s="42" t="s">
        <v>2</v>
      </c>
      <c r="D152" s="14" t="s">
        <v>17</v>
      </c>
      <c r="E152" s="25"/>
      <c r="F152" s="14" t="s">
        <v>33</v>
      </c>
      <c r="G152" s="22" t="s">
        <v>33</v>
      </c>
      <c r="H152" s="15">
        <v>46027</v>
      </c>
      <c r="I152" s="15">
        <v>46027</v>
      </c>
      <c r="J152" s="14" t="s">
        <v>9</v>
      </c>
      <c r="K152" s="25"/>
      <c r="L152" s="26"/>
      <c r="M152" s="14"/>
      <c r="O152" t="str">
        <f>VLOOKUP(B152,'From Databricks partner portal'!E:E,1,FALSE)</f>
        <v>garret.fernandez@intuitive.ai</v>
      </c>
    </row>
    <row r="153" spans="1:15" hidden="1">
      <c r="A153" s="25" t="s">
        <v>384</v>
      </c>
      <c r="B153" s="43" t="s">
        <v>385</v>
      </c>
      <c r="C153" s="42" t="s">
        <v>2</v>
      </c>
      <c r="D153" s="14" t="s">
        <v>17</v>
      </c>
      <c r="E153" s="25"/>
      <c r="F153" s="14" t="s">
        <v>33</v>
      </c>
      <c r="G153" s="22" t="s">
        <v>33</v>
      </c>
      <c r="H153" s="15">
        <v>46027</v>
      </c>
      <c r="I153" s="15">
        <v>46027</v>
      </c>
      <c r="J153" s="14" t="s">
        <v>9</v>
      </c>
      <c r="K153" s="25"/>
      <c r="L153" s="26"/>
      <c r="M153" s="14"/>
      <c r="O153" t="str">
        <f>VLOOKUP(B153,'From Databricks partner portal'!E:E,1,FALSE)</f>
        <v>harsh.kharwar@intuitive.ai</v>
      </c>
    </row>
    <row r="154" spans="1:15" hidden="1">
      <c r="A154" s="25" t="s">
        <v>386</v>
      </c>
      <c r="B154" s="43" t="s">
        <v>387</v>
      </c>
      <c r="C154" s="42" t="s">
        <v>2</v>
      </c>
      <c r="D154" s="14" t="s">
        <v>17</v>
      </c>
      <c r="E154" s="25"/>
      <c r="F154" s="14" t="s">
        <v>33</v>
      </c>
      <c r="G154" s="22" t="s">
        <v>33</v>
      </c>
      <c r="H154" s="15">
        <v>46046</v>
      </c>
      <c r="I154" s="15"/>
      <c r="J154" s="14" t="s">
        <v>9</v>
      </c>
      <c r="K154" s="25"/>
      <c r="L154" s="26"/>
      <c r="M154" s="14"/>
      <c r="O154" t="str">
        <f>VLOOKUP(B154,'From Databricks partner portal'!E:E,1,FALSE)</f>
        <v>chaitanya.baweja@intuitive.ai</v>
      </c>
    </row>
    <row r="155" spans="1:15" hidden="1">
      <c r="A155" s="25" t="s">
        <v>388</v>
      </c>
      <c r="B155" s="43" t="s">
        <v>389</v>
      </c>
      <c r="C155" s="42" t="s">
        <v>2</v>
      </c>
      <c r="D155" s="14" t="s">
        <v>17</v>
      </c>
      <c r="E155" s="25"/>
      <c r="F155" s="14" t="s">
        <v>33</v>
      </c>
      <c r="G155" s="22" t="s">
        <v>33</v>
      </c>
      <c r="H155" s="15">
        <v>46055</v>
      </c>
      <c r="I155" s="15"/>
      <c r="J155" s="14" t="s">
        <v>9</v>
      </c>
      <c r="K155" s="25"/>
      <c r="L155" s="26"/>
      <c r="M155" s="14"/>
      <c r="O155" t="str">
        <f>VLOOKUP(B155,'From Databricks partner portal'!E:E,1,FALSE)</f>
        <v>gourab.banerjee@intuitive.ai</v>
      </c>
    </row>
    <row r="156" spans="1:15" hidden="1">
      <c r="A156" s="25" t="s">
        <v>390</v>
      </c>
      <c r="B156" s="43" t="s">
        <v>391</v>
      </c>
      <c r="C156" s="42" t="s">
        <v>2</v>
      </c>
      <c r="D156" s="14" t="s">
        <v>17</v>
      </c>
      <c r="E156" s="25"/>
      <c r="F156" s="14" t="s">
        <v>33</v>
      </c>
      <c r="G156" s="22" t="s">
        <v>33</v>
      </c>
      <c r="H156" s="15">
        <v>46044</v>
      </c>
      <c r="I156" s="15"/>
      <c r="J156" s="22" t="s">
        <v>9</v>
      </c>
      <c r="K156" s="14"/>
      <c r="L156" s="14"/>
      <c r="M156" s="46"/>
      <c r="O156" t="str">
        <f>VLOOKUP(B156,'From Databricks partner portal'!E:E,1,FALSE)</f>
        <v>yuktha.pulukkul@intuitive.ai</v>
      </c>
    </row>
    <row r="157" spans="1:15">
      <c r="A157" s="25" t="s">
        <v>392</v>
      </c>
      <c r="B157" s="43" t="s">
        <v>393</v>
      </c>
      <c r="C157" s="42" t="s">
        <v>2</v>
      </c>
      <c r="D157" s="14" t="s">
        <v>36</v>
      </c>
      <c r="E157" s="25" t="s">
        <v>64</v>
      </c>
      <c r="F157" s="14" t="s">
        <v>29</v>
      </c>
      <c r="G157" s="71" t="s">
        <v>30</v>
      </c>
      <c r="H157" s="34">
        <v>45766</v>
      </c>
      <c r="I157" s="15">
        <v>45930</v>
      </c>
      <c r="J157" s="22" t="s">
        <v>9</v>
      </c>
      <c r="K157" s="50"/>
      <c r="L157" s="50"/>
      <c r="M157" s="50"/>
      <c r="O157" t="e">
        <f>VLOOKUP(B157,'From Databricks partner portal'!E:E,1,FALSE)</f>
        <v>#N/A</v>
      </c>
    </row>
    <row r="158" spans="1:15" hidden="1">
      <c r="A158" s="25" t="s">
        <v>394</v>
      </c>
      <c r="B158" s="43" t="s">
        <v>395</v>
      </c>
      <c r="C158" s="42" t="s">
        <v>2</v>
      </c>
      <c r="D158" s="14" t="s">
        <v>17</v>
      </c>
      <c r="E158" s="25"/>
      <c r="F158" s="14" t="s">
        <v>33</v>
      </c>
      <c r="G158" s="22" t="s">
        <v>33</v>
      </c>
      <c r="H158" s="15">
        <v>46027</v>
      </c>
      <c r="I158" s="15">
        <v>46027</v>
      </c>
      <c r="J158" s="22" t="s">
        <v>9</v>
      </c>
      <c r="K158" s="14"/>
      <c r="L158" s="14"/>
      <c r="M158" s="46"/>
      <c r="O158" t="str">
        <f>VLOOKUP(B158,'From Databricks partner portal'!E:E,1,FALSE)</f>
        <v>darshan.rajyaguru@intuitive.ai</v>
      </c>
    </row>
    <row r="159" spans="1:15" hidden="1">
      <c r="A159" s="25" t="s">
        <v>396</v>
      </c>
      <c r="B159" s="43" t="s">
        <v>397</v>
      </c>
      <c r="C159" s="42" t="s">
        <v>2</v>
      </c>
      <c r="D159" s="14" t="s">
        <v>17</v>
      </c>
      <c r="E159" s="25"/>
      <c r="F159" s="14" t="s">
        <v>33</v>
      </c>
      <c r="G159" s="22" t="s">
        <v>33</v>
      </c>
      <c r="H159" s="15">
        <v>46027</v>
      </c>
      <c r="I159" s="15">
        <v>46027</v>
      </c>
      <c r="J159" s="14" t="s">
        <v>9</v>
      </c>
      <c r="K159" s="50"/>
      <c r="L159" s="77"/>
      <c r="M159" s="14"/>
      <c r="O159" t="str">
        <f>VLOOKUP(B159,'From Databricks partner portal'!E:E,1,FALSE)</f>
        <v>jigarkumar.bhoye@intuitive.ai</v>
      </c>
    </row>
    <row r="160" spans="1:15" hidden="1">
      <c r="A160" s="25" t="s">
        <v>398</v>
      </c>
      <c r="B160" s="43" t="s">
        <v>399</v>
      </c>
      <c r="C160" s="42" t="s">
        <v>2</v>
      </c>
      <c r="D160" s="14" t="s">
        <v>17</v>
      </c>
      <c r="E160" s="25"/>
      <c r="F160" s="14" t="s">
        <v>33</v>
      </c>
      <c r="G160" s="22" t="s">
        <v>33</v>
      </c>
      <c r="H160" s="15">
        <v>46027</v>
      </c>
      <c r="I160" s="15">
        <v>46027</v>
      </c>
      <c r="J160" s="14" t="s">
        <v>9</v>
      </c>
      <c r="K160" s="25"/>
      <c r="L160" s="26"/>
      <c r="M160" s="14"/>
      <c r="O160" t="str">
        <f>VLOOKUP(B160,'From Databricks partner portal'!E:E,1,FALSE)</f>
        <v>rahul.morabiya@intuitive.ai</v>
      </c>
    </row>
    <row r="161" spans="1:16" hidden="1">
      <c r="A161" s="25" t="s">
        <v>400</v>
      </c>
      <c r="B161" s="43" t="s">
        <v>401</v>
      </c>
      <c r="C161" s="42" t="s">
        <v>2</v>
      </c>
      <c r="D161" s="14" t="s">
        <v>17</v>
      </c>
      <c r="E161" s="25"/>
      <c r="F161" s="14" t="s">
        <v>33</v>
      </c>
      <c r="G161" s="22" t="s">
        <v>33</v>
      </c>
      <c r="H161" s="15">
        <v>46027</v>
      </c>
      <c r="I161" s="15">
        <v>46027</v>
      </c>
      <c r="J161" s="14" t="s">
        <v>9</v>
      </c>
      <c r="K161" s="25"/>
      <c r="L161" s="26"/>
      <c r="M161" s="14"/>
      <c r="O161" t="str">
        <f>VLOOKUP(B161,'From Databricks partner portal'!E:E,1,FALSE)</f>
        <v>dhruv.maradiya@intuitive.ai</v>
      </c>
    </row>
    <row r="162" spans="1:16" hidden="1">
      <c r="A162" s="25" t="s">
        <v>402</v>
      </c>
      <c r="B162" s="43" t="s">
        <v>403</v>
      </c>
      <c r="C162" s="42" t="s">
        <v>2</v>
      </c>
      <c r="D162" s="14" t="s">
        <v>17</v>
      </c>
      <c r="E162" s="25"/>
      <c r="F162" s="14" t="s">
        <v>33</v>
      </c>
      <c r="G162" s="22" t="s">
        <v>33</v>
      </c>
      <c r="H162" s="15">
        <v>46027</v>
      </c>
      <c r="I162" s="15">
        <v>46027</v>
      </c>
      <c r="J162" s="14" t="s">
        <v>9</v>
      </c>
      <c r="K162" s="25"/>
      <c r="L162" s="26"/>
      <c r="M162" s="14"/>
      <c r="O162" t="str">
        <f>VLOOKUP(B162,'From Databricks partner portal'!E:E,1,FALSE)</f>
        <v>kenil.sarang@intuitive.ai</v>
      </c>
    </row>
    <row r="163" spans="1:16" hidden="1">
      <c r="A163" s="25" t="s">
        <v>404</v>
      </c>
      <c r="B163" s="75" t="s">
        <v>405</v>
      </c>
      <c r="C163" s="76" t="s">
        <v>23</v>
      </c>
      <c r="D163" s="25" t="s">
        <v>36</v>
      </c>
      <c r="E163" s="25" t="s">
        <v>406</v>
      </c>
      <c r="F163" s="25" t="s">
        <v>407</v>
      </c>
      <c r="G163" s="26" t="s">
        <v>20</v>
      </c>
      <c r="H163" s="27"/>
      <c r="I163" s="27"/>
      <c r="J163" s="37" t="s">
        <v>9</v>
      </c>
      <c r="K163" s="25"/>
      <c r="L163" s="25"/>
      <c r="M163" s="50"/>
      <c r="O163" t="e">
        <f>VLOOKUP(B163,'From Databricks partner portal'!E:E,1,FALSE)</f>
        <v>#N/A</v>
      </c>
    </row>
    <row r="164" spans="1:16" hidden="1">
      <c r="A164" s="14" t="s">
        <v>408</v>
      </c>
      <c r="B164" s="78" t="s">
        <v>409</v>
      </c>
      <c r="C164" s="42" t="s">
        <v>2</v>
      </c>
      <c r="D164" s="14" t="s">
        <v>69</v>
      </c>
      <c r="E164" s="37"/>
      <c r="F164" s="14" t="s">
        <v>358</v>
      </c>
      <c r="G164" s="14" t="s">
        <v>71</v>
      </c>
      <c r="H164" s="15">
        <v>45844</v>
      </c>
      <c r="I164" s="15"/>
      <c r="J164" s="14"/>
      <c r="K164" s="14"/>
      <c r="L164" s="14"/>
      <c r="M164" s="14"/>
      <c r="O164" t="str">
        <f>VLOOKUP(B164,'From Databricks partner portal'!E:E,1,FALSE)</f>
        <v>yash.jain@intuitive.ai</v>
      </c>
    </row>
    <row r="165" spans="1:16" ht="17.100000000000001" hidden="1">
      <c r="A165" s="79" t="s">
        <v>410</v>
      </c>
      <c r="B165" s="80" t="s">
        <v>411</v>
      </c>
      <c r="C165" s="81" t="s">
        <v>23</v>
      </c>
      <c r="D165" s="50"/>
      <c r="E165" s="37"/>
      <c r="F165" s="14" t="s">
        <v>49</v>
      </c>
      <c r="G165" s="14" t="s">
        <v>49</v>
      </c>
      <c r="H165" s="82"/>
      <c r="I165" s="82"/>
      <c r="J165" s="50" t="s">
        <v>9</v>
      </c>
      <c r="K165" s="50"/>
      <c r="L165" s="50"/>
      <c r="M165" s="50"/>
      <c r="O165" t="e">
        <f>VLOOKUP(B165,'From Databricks partner portal'!E:E,1,FALSE)</f>
        <v>#N/A</v>
      </c>
    </row>
    <row r="166" spans="1:16">
      <c r="A166" s="93" t="s">
        <v>412</v>
      </c>
      <c r="B166" s="97" t="s">
        <v>413</v>
      </c>
      <c r="C166" s="42" t="s">
        <v>2</v>
      </c>
      <c r="D166" s="18" t="s">
        <v>36</v>
      </c>
      <c r="E166" s="37"/>
      <c r="F166" s="14" t="s">
        <v>102</v>
      </c>
      <c r="G166" s="18" t="s">
        <v>30</v>
      </c>
      <c r="H166" s="82"/>
      <c r="I166" s="82"/>
      <c r="J166" s="50" t="s">
        <v>9</v>
      </c>
      <c r="K166" s="50"/>
      <c r="L166" s="50"/>
      <c r="M166" s="50"/>
      <c r="O166" t="e">
        <f>VLOOKUP(B166,'From Databricks partner portal'!E:E,1,FALSE)</f>
        <v>#N/A</v>
      </c>
      <c r="P166" t="s">
        <v>65</v>
      </c>
    </row>
    <row r="167" spans="1:16" ht="17.100000000000001" hidden="1">
      <c r="A167" s="25" t="s">
        <v>414</v>
      </c>
      <c r="B167" s="80" t="s">
        <v>415</v>
      </c>
      <c r="C167" s="42" t="s">
        <v>2</v>
      </c>
      <c r="D167" s="14" t="s">
        <v>17</v>
      </c>
      <c r="E167" s="37"/>
      <c r="F167" s="14" t="s">
        <v>358</v>
      </c>
      <c r="G167" s="14" t="s">
        <v>71</v>
      </c>
      <c r="H167" s="82">
        <v>46052</v>
      </c>
      <c r="I167" s="82"/>
      <c r="J167" s="50"/>
      <c r="K167" s="50"/>
      <c r="L167" s="50"/>
      <c r="M167" s="50"/>
      <c r="O167" t="str">
        <f>VLOOKUP(B167,'From Databricks partner portal'!E:E,1,FALSE)</f>
        <v>abdul.haleem@intuitive.ai</v>
      </c>
    </row>
    <row r="168" spans="1:16" ht="17.100000000000001" hidden="1">
      <c r="A168" s="25" t="s">
        <v>416</v>
      </c>
      <c r="B168" s="80" t="s">
        <v>417</v>
      </c>
      <c r="C168" s="7" t="s">
        <v>68</v>
      </c>
      <c r="D168" s="14" t="s">
        <v>69</v>
      </c>
      <c r="E168" s="14"/>
      <c r="F168" s="14" t="s">
        <v>358</v>
      </c>
      <c r="G168" s="82" t="s">
        <v>71</v>
      </c>
      <c r="H168" s="82">
        <v>46038</v>
      </c>
      <c r="I168" s="50"/>
      <c r="J168" s="50"/>
      <c r="K168" s="50"/>
      <c r="L168" s="50"/>
      <c r="M168" s="50"/>
      <c r="O168" t="e">
        <f>VLOOKUP(B168,'From Databricks partner portal'!E:E,1,FALSE)</f>
        <v>#N/A</v>
      </c>
    </row>
    <row r="169" spans="1:16" ht="17.100000000000001">
      <c r="A169" s="93" t="s">
        <v>418</v>
      </c>
      <c r="B169" s="95" t="s">
        <v>419</v>
      </c>
      <c r="C169" s="42" t="s">
        <v>2</v>
      </c>
      <c r="D169" s="18" t="s">
        <v>36</v>
      </c>
      <c r="E169" s="14"/>
      <c r="F169" s="14" t="s">
        <v>102</v>
      </c>
      <c r="G169" s="98" t="s">
        <v>30</v>
      </c>
      <c r="H169" s="82"/>
      <c r="I169" s="82"/>
      <c r="J169" s="50" t="s">
        <v>9</v>
      </c>
      <c r="K169" s="50"/>
      <c r="L169" s="50"/>
      <c r="M169" s="14" t="s">
        <v>420</v>
      </c>
      <c r="O169" t="e">
        <f>VLOOKUP(B169,'From Databricks partner portal'!E:E,1,FALSE)</f>
        <v>#N/A</v>
      </c>
    </row>
    <row r="170" spans="1:16" ht="17.100000000000001">
      <c r="A170" s="25" t="s">
        <v>421</v>
      </c>
      <c r="B170" s="80" t="s">
        <v>422</v>
      </c>
      <c r="C170" s="42" t="s">
        <v>2</v>
      </c>
      <c r="D170" s="14" t="s">
        <v>423</v>
      </c>
      <c r="E170" s="14"/>
      <c r="F170" s="14" t="s">
        <v>358</v>
      </c>
      <c r="G170" s="82" t="s">
        <v>71</v>
      </c>
      <c r="H170" s="82"/>
      <c r="I170" s="50"/>
      <c r="J170" s="50"/>
      <c r="K170" s="50"/>
      <c r="L170" s="50"/>
      <c r="O170" t="e">
        <f>VLOOKUP(B170,'From Databricks partner portal'!E:E,1,FALSE)</f>
        <v>#N/A</v>
      </c>
    </row>
    <row r="171" spans="1:16" ht="17.100000000000001" hidden="1">
      <c r="A171" s="25" t="s">
        <v>424</v>
      </c>
      <c r="B171" s="80" t="s">
        <v>425</v>
      </c>
      <c r="C171" s="44" t="s">
        <v>23</v>
      </c>
      <c r="D171" s="14"/>
      <c r="E171" s="14"/>
      <c r="F171" s="14" t="s">
        <v>358</v>
      </c>
      <c r="G171" s="82" t="s">
        <v>71</v>
      </c>
      <c r="H171" s="82"/>
      <c r="I171" s="50"/>
      <c r="J171" s="50"/>
      <c r="K171" s="50"/>
      <c r="L171" s="50"/>
      <c r="O171" t="e">
        <f>VLOOKUP(B171,'From Databricks partner portal'!E:E,1,FALSE)</f>
        <v>#N/A</v>
      </c>
    </row>
    <row r="172" spans="1:16" ht="17.100000000000001" hidden="1">
      <c r="A172" s="25" t="s">
        <v>426</v>
      </c>
      <c r="B172" s="80" t="s">
        <v>427</v>
      </c>
      <c r="C172" s="44" t="s">
        <v>23</v>
      </c>
      <c r="D172" s="14"/>
      <c r="E172" s="14"/>
      <c r="F172" s="14" t="s">
        <v>358</v>
      </c>
      <c r="G172" s="82" t="s">
        <v>71</v>
      </c>
      <c r="H172" s="82"/>
      <c r="I172" s="50"/>
      <c r="J172" s="50"/>
      <c r="K172" s="50"/>
      <c r="L172" s="50"/>
      <c r="O172" t="e">
        <f>VLOOKUP(B172,'From Databricks partner portal'!E:E,1,FALSE)</f>
        <v>#N/A</v>
      </c>
    </row>
    <row r="173" spans="1:16" ht="17.100000000000001" hidden="1">
      <c r="A173" s="25" t="s">
        <v>428</v>
      </c>
      <c r="B173" s="80" t="s">
        <v>429</v>
      </c>
      <c r="C173" s="44" t="s">
        <v>23</v>
      </c>
      <c r="D173" s="14"/>
      <c r="E173" s="14"/>
      <c r="F173" s="14" t="s">
        <v>358</v>
      </c>
      <c r="G173" s="82" t="s">
        <v>71</v>
      </c>
      <c r="H173" s="82"/>
      <c r="I173" s="50"/>
      <c r="J173" s="50"/>
      <c r="K173" s="50"/>
      <c r="L173" s="50"/>
      <c r="O173" t="e">
        <f>VLOOKUP(B173,'From Databricks partner portal'!E:E,1,FALSE)</f>
        <v>#N/A</v>
      </c>
    </row>
    <row r="174" spans="1:16" ht="17.100000000000001" hidden="1">
      <c r="A174" s="25" t="s">
        <v>430</v>
      </c>
      <c r="B174" s="80" t="s">
        <v>431</v>
      </c>
      <c r="C174" s="42" t="s">
        <v>2</v>
      </c>
      <c r="D174" s="14" t="s">
        <v>432</v>
      </c>
      <c r="E174" s="14"/>
      <c r="F174" s="14" t="s">
        <v>358</v>
      </c>
      <c r="G174" s="82" t="s">
        <v>71</v>
      </c>
      <c r="H174" s="82">
        <v>46077</v>
      </c>
      <c r="I174" s="50"/>
      <c r="J174" s="50"/>
      <c r="K174" s="50"/>
      <c r="L174" s="50"/>
      <c r="O174" t="str">
        <f>VLOOKUP(B174,'From Databricks partner portal'!E:E,1,FALSE)</f>
        <v>debrup.mondal@intuitive.ai</v>
      </c>
    </row>
    <row r="175" spans="1:16" ht="17.100000000000001" hidden="1">
      <c r="A175" s="25" t="s">
        <v>433</v>
      </c>
      <c r="B175" s="80" t="s">
        <v>434</v>
      </c>
      <c r="C175" s="44" t="s">
        <v>23</v>
      </c>
      <c r="D175" s="14"/>
      <c r="E175" s="14"/>
      <c r="F175" s="14" t="s">
        <v>358</v>
      </c>
      <c r="G175" s="82" t="s">
        <v>71</v>
      </c>
      <c r="H175" s="82"/>
      <c r="I175" s="50"/>
      <c r="J175" s="50"/>
      <c r="K175" s="50"/>
      <c r="L175" s="50"/>
      <c r="O175" t="e">
        <f>VLOOKUP(B175,'From Databricks partner portal'!E:E,1,FALSE)</f>
        <v>#N/A</v>
      </c>
    </row>
    <row r="176" spans="1:16" ht="17.100000000000001" hidden="1">
      <c r="A176" s="25" t="s">
        <v>435</v>
      </c>
      <c r="B176" s="80" t="s">
        <v>436</v>
      </c>
      <c r="C176" s="44" t="s">
        <v>23</v>
      </c>
      <c r="D176" s="14"/>
      <c r="E176" s="14"/>
      <c r="F176" s="14" t="s">
        <v>358</v>
      </c>
      <c r="G176" s="82" t="s">
        <v>71</v>
      </c>
      <c r="H176" s="82"/>
      <c r="I176" s="50"/>
      <c r="J176" s="50"/>
      <c r="K176" s="50"/>
      <c r="L176" s="50"/>
      <c r="O176" t="e">
        <f>VLOOKUP(B176,'From Databricks partner portal'!E:E,1,FALSE)</f>
        <v>#N/A</v>
      </c>
    </row>
    <row r="177" spans="1:15" ht="17.100000000000001" hidden="1">
      <c r="A177" s="25" t="s">
        <v>437</v>
      </c>
      <c r="B177" s="80" t="s">
        <v>438</v>
      </c>
      <c r="C177" s="44" t="s">
        <v>23</v>
      </c>
      <c r="D177" s="14"/>
      <c r="E177" s="14"/>
      <c r="F177" s="14" t="s">
        <v>358</v>
      </c>
      <c r="G177" s="82" t="s">
        <v>71</v>
      </c>
      <c r="H177" s="82"/>
      <c r="I177" s="50"/>
      <c r="J177" s="50"/>
      <c r="K177" s="50"/>
      <c r="L177" s="50"/>
      <c r="O177" t="e">
        <f>VLOOKUP(B177,'From Databricks partner portal'!E:E,1,FALSE)</f>
        <v>#N/A</v>
      </c>
    </row>
    <row r="178" spans="1:15" ht="17.100000000000001" hidden="1">
      <c r="A178" s="25" t="s">
        <v>439</v>
      </c>
      <c r="B178" s="80" t="s">
        <v>440</v>
      </c>
      <c r="C178" s="44" t="s">
        <v>23</v>
      </c>
      <c r="D178" s="14"/>
      <c r="E178" s="14"/>
      <c r="F178" s="14" t="s">
        <v>358</v>
      </c>
      <c r="G178" s="82" t="s">
        <v>71</v>
      </c>
      <c r="H178" s="82"/>
      <c r="I178" s="50"/>
      <c r="J178" s="50"/>
      <c r="K178" s="50"/>
      <c r="L178" s="50"/>
      <c r="O178" t="e">
        <f>VLOOKUP(B178,'From Databricks partner portal'!E:E,1,FALSE)</f>
        <v>#N/A</v>
      </c>
    </row>
    <row r="179" spans="1:15" ht="17.100000000000001" hidden="1">
      <c r="A179" s="25" t="s">
        <v>441</v>
      </c>
      <c r="B179" s="80" t="s">
        <v>442</v>
      </c>
      <c r="C179" s="44" t="s">
        <v>23</v>
      </c>
      <c r="D179" s="14"/>
      <c r="E179" s="14"/>
      <c r="F179" s="14" t="s">
        <v>71</v>
      </c>
      <c r="G179" s="82" t="s">
        <v>71</v>
      </c>
      <c r="H179" s="82"/>
      <c r="I179" s="50"/>
      <c r="J179" s="50"/>
      <c r="K179" s="50"/>
      <c r="L179" s="50"/>
      <c r="O179" t="e">
        <f>VLOOKUP(B179,'From Databricks partner portal'!E:E,1,FALSE)</f>
        <v>#N/A</v>
      </c>
    </row>
    <row r="180" spans="1:15">
      <c r="B180" s="83"/>
      <c r="C180" s="68"/>
      <c r="G180" s="12"/>
      <c r="I180"/>
    </row>
    <row r="181" spans="1:15">
      <c r="B181" s="83"/>
      <c r="C181" s="68"/>
      <c r="G181" s="12"/>
      <c r="I181"/>
    </row>
    <row r="182" spans="1:15">
      <c r="G182" s="11" t="s">
        <v>443</v>
      </c>
      <c r="H182" s="30" t="s">
        <v>2</v>
      </c>
      <c r="I182" s="30" t="s">
        <v>23</v>
      </c>
    </row>
    <row r="183" spans="1:15">
      <c r="F183" s="10" t="s">
        <v>33</v>
      </c>
      <c r="G183">
        <f>COUNTIF(G$2:G$179, F183)</f>
        <v>51</v>
      </c>
      <c r="H183">
        <f>COUNTIFS($G$2:$G$179, $F183, $C$2:$C$179, $H$182)</f>
        <v>51</v>
      </c>
      <c r="I183">
        <f>COUNTIFS($G$2:$G$179, $F183, $C$2:$C$179, $I$182)</f>
        <v>0</v>
      </c>
      <c r="J183" s="31">
        <f t="shared" ref="J183:J190" si="0">H183/G183</f>
        <v>1</v>
      </c>
    </row>
    <row r="184" spans="1:15">
      <c r="A184" t="s">
        <v>444</v>
      </c>
      <c r="B184" t="s">
        <v>443</v>
      </c>
      <c r="C184" s="40">
        <f>COUNTA(C2:C179)</f>
        <v>178</v>
      </c>
      <c r="F184" s="10" t="s">
        <v>71</v>
      </c>
      <c r="G184">
        <f t="shared" ref="G184:G189" si="1">COUNTIF(G$2:G$179, F184)</f>
        <v>26</v>
      </c>
      <c r="H184">
        <f t="shared" ref="H184:H189" si="2">COUNTIFS($G$2:$G$179, $F184, $C$2:$C$179, $H$182)</f>
        <v>10</v>
      </c>
      <c r="I184">
        <f>COUNTIFS($G$2:$G$179, $F184, $C$2:$C$179, $I$182)</f>
        <v>11</v>
      </c>
      <c r="J184" s="31">
        <f t="shared" si="0"/>
        <v>0.38461538461538464</v>
      </c>
    </row>
    <row r="185" spans="1:15">
      <c r="C185" s="41"/>
      <c r="F185" s="10" t="s">
        <v>30</v>
      </c>
      <c r="G185">
        <f t="shared" si="1"/>
        <v>32</v>
      </c>
      <c r="H185">
        <f t="shared" si="2"/>
        <v>18</v>
      </c>
      <c r="I185">
        <f t="shared" ref="I185:I189" si="3">COUNTIFS($G$2:$G$179, $F185, $C$2:$C$179, $I$182)</f>
        <v>14</v>
      </c>
      <c r="J185" s="31">
        <f t="shared" si="0"/>
        <v>0.5625</v>
      </c>
    </row>
    <row r="186" spans="1:15">
      <c r="A186" t="s">
        <v>445</v>
      </c>
      <c r="B186" t="s">
        <v>2</v>
      </c>
      <c r="C186" s="40">
        <f>COUNTIF($C$2:$C$179, B186)</f>
        <v>99</v>
      </c>
      <c r="F186" s="10" t="s">
        <v>24</v>
      </c>
      <c r="G186">
        <f t="shared" si="1"/>
        <v>24</v>
      </c>
      <c r="H186">
        <f t="shared" si="2"/>
        <v>2</v>
      </c>
      <c r="I186">
        <f t="shared" si="3"/>
        <v>22</v>
      </c>
      <c r="J186" s="31">
        <f t="shared" si="0"/>
        <v>8.3333333333333329E-2</v>
      </c>
    </row>
    <row r="187" spans="1:15">
      <c r="A187" t="s">
        <v>23</v>
      </c>
      <c r="B187" t="s">
        <v>446</v>
      </c>
      <c r="C187" s="40">
        <f>COUNTIF(C2:C179, B187)</f>
        <v>0</v>
      </c>
      <c r="F187" s="10" t="s">
        <v>282</v>
      </c>
      <c r="G187">
        <f t="shared" si="1"/>
        <v>1</v>
      </c>
      <c r="H187">
        <f t="shared" si="2"/>
        <v>1</v>
      </c>
      <c r="I187">
        <f t="shared" si="3"/>
        <v>0</v>
      </c>
      <c r="J187" s="31">
        <f t="shared" si="0"/>
        <v>1</v>
      </c>
    </row>
    <row r="188" spans="1:15">
      <c r="B188" t="s">
        <v>68</v>
      </c>
      <c r="C188" s="40">
        <f>COUNTIF(C2:C179, B188)</f>
        <v>5</v>
      </c>
      <c r="F188" s="10" t="s">
        <v>50</v>
      </c>
      <c r="G188">
        <f t="shared" si="1"/>
        <v>12</v>
      </c>
      <c r="H188">
        <f t="shared" si="2"/>
        <v>1</v>
      </c>
      <c r="I188">
        <f t="shared" si="3"/>
        <v>11</v>
      </c>
      <c r="J188" s="31">
        <f t="shared" si="0"/>
        <v>8.3333333333333329E-2</v>
      </c>
    </row>
    <row r="189" spans="1:15">
      <c r="B189" t="s">
        <v>447</v>
      </c>
      <c r="C189" s="40">
        <f>SUM(C186:C188)</f>
        <v>104</v>
      </c>
      <c r="F189" t="s">
        <v>20</v>
      </c>
      <c r="G189">
        <f t="shared" si="1"/>
        <v>31</v>
      </c>
      <c r="H189">
        <f t="shared" si="2"/>
        <v>16</v>
      </c>
      <c r="I189">
        <f t="shared" si="3"/>
        <v>15</v>
      </c>
      <c r="J189" s="31">
        <f t="shared" si="0"/>
        <v>0.5161290322580645</v>
      </c>
    </row>
    <row r="190" spans="1:15">
      <c r="A190" t="s">
        <v>448</v>
      </c>
      <c r="C190" s="40"/>
      <c r="F190" s="11" t="s">
        <v>443</v>
      </c>
      <c r="G190" s="29">
        <f>SUM(G183:G189)</f>
        <v>177</v>
      </c>
      <c r="H190" s="106">
        <f>COUNTIF($C$2:$C$179,"Completed")</f>
        <v>99</v>
      </c>
      <c r="I190" s="29">
        <f>SUM(I183:I189)</f>
        <v>73</v>
      </c>
      <c r="J190" s="31">
        <f t="shared" si="0"/>
        <v>0.55932203389830504</v>
      </c>
    </row>
    <row r="191" spans="1:15">
      <c r="A191" t="s">
        <v>449</v>
      </c>
      <c r="B191" t="s">
        <v>448</v>
      </c>
      <c r="C191" s="40">
        <v>100</v>
      </c>
      <c r="I191" s="29"/>
    </row>
    <row r="192" spans="1:15">
      <c r="B192" t="s">
        <v>450</v>
      </c>
      <c r="C192" s="40">
        <f>C186-C191</f>
        <v>-1</v>
      </c>
    </row>
  </sheetData>
  <autoFilter ref="A1:O179" xr:uid="{3A293AB2-E8A9-6D45-B11F-0558E35A23C0}">
    <filterColumn colId="2">
      <filters>
        <filter val="Completed"/>
      </filters>
    </filterColumn>
    <filterColumn colId="14">
      <filters>
        <filter val="#N/A"/>
      </filters>
    </filterColumn>
    <sortState xmlns:xlrd2="http://schemas.microsoft.com/office/spreadsheetml/2017/richdata2" ref="A2:O170">
      <sortCondition ref="H1:H179"/>
    </sortState>
  </autoFilter>
  <sortState xmlns:xlrd2="http://schemas.microsoft.com/office/spreadsheetml/2017/richdata2" ref="D183:F188">
    <sortCondition ref="D183:D188"/>
  </sortState>
  <hyperlinks>
    <hyperlink ref="B87" r:id="rId1" xr:uid="{B9B26906-64BA-4F42-9BD6-802A313A9AB3}"/>
    <hyperlink ref="B66" r:id="rId2" xr:uid="{135FC4C8-9AAA-A548-8CC6-F6D85021C907}"/>
    <hyperlink ref="B14" r:id="rId3" xr:uid="{460A11B4-B666-814A-A029-8BEA0C27F643}"/>
    <hyperlink ref="B15" r:id="rId4" xr:uid="{6987101C-EC0C-6C46-BDE2-BE15844983CB}"/>
    <hyperlink ref="B49" r:id="rId5" xr:uid="{92E17D07-67D5-EE4B-AC0E-F80F25D9E1DE}"/>
    <hyperlink ref="B42" r:id="rId6" xr:uid="{A556A6BB-3E4C-C949-9020-E7D51287AFA5}"/>
    <hyperlink ref="B32" r:id="rId7" xr:uid="{33FB788F-9342-744C-A014-918E7B9BEE4B}"/>
    <hyperlink ref="B25" r:id="rId8" xr:uid="{20CDD241-EF0B-4D58-9832-5F7933CC17CF}"/>
    <hyperlink ref="B74" r:id="rId9" xr:uid="{B3DC3157-031A-4B0A-A43D-87E453646DB2}"/>
    <hyperlink ref="B24" r:id="rId10" xr:uid="{CC1D67C3-36BB-4DC5-B7F8-89E6C529EA2F}"/>
    <hyperlink ref="B83" r:id="rId11" xr:uid="{6881A92D-C697-4D8C-B634-CCFDC636AEBB}"/>
    <hyperlink ref="B157" r:id="rId12" xr:uid="{B2360AAF-788D-4220-A958-53E12C14F51F}"/>
    <hyperlink ref="B4" r:id="rId13" xr:uid="{E75F6C1C-863E-414D-9F31-DB39AD111579}"/>
    <hyperlink ref="B88" r:id="rId14" xr:uid="{2BDF51D2-E150-4D07-9FE6-8A4C70C1B93C}"/>
    <hyperlink ref="B100" r:id="rId15" xr:uid="{CC7BFFA3-C775-40B7-95E1-9E3804049A5A}"/>
    <hyperlink ref="B138" r:id="rId16" xr:uid="{22252ABB-41CA-472B-9346-9FC38F75C257}"/>
    <hyperlink ref="B163" r:id="rId17" xr:uid="{4D3AC1A2-50A0-DD4F-A60D-366A1FCC65AB}"/>
    <hyperlink ref="B38" r:id="rId18" xr:uid="{91F8DA2B-997D-1E49-BEE0-6CF417A36791}"/>
    <hyperlink ref="B43" r:id="rId19" xr:uid="{15922E17-A205-467A-BBB1-66E0D5F130A8}"/>
    <hyperlink ref="B57" r:id="rId20" xr:uid="{8386135A-E65F-4EE2-89F7-4A87A63F5F65}"/>
    <hyperlink ref="B28" r:id="rId21" xr:uid="{815724AB-26E7-644F-8B98-662CF5CF29FE}"/>
    <hyperlink ref="B29" r:id="rId22" xr:uid="{C5358CB1-3688-4BA8-8343-3A28245EDC03}"/>
    <hyperlink ref="B2" r:id="rId23" xr:uid="{0DD8799A-B157-7A45-B7C7-4407DEB69BC1}"/>
    <hyperlink ref="B17" r:id="rId24" xr:uid="{B8D0A656-4887-453F-AAC2-283B8E107758}"/>
    <hyperlink ref="B11" r:id="rId25" xr:uid="{07EC098E-2BDB-7A4D-8092-3B7C4F1F2008}"/>
    <hyperlink ref="B13" r:id="rId26" xr:uid="{AC154E1B-5ACD-4901-9CA5-28B679787AF5}"/>
    <hyperlink ref="B16" r:id="rId27" xr:uid="{523BE7EC-7EC9-4083-906C-6892DFDE3D3E}"/>
    <hyperlink ref="B58" r:id="rId28" xr:uid="{FB932FCF-1E5F-4BAE-81BD-973957B14809}"/>
    <hyperlink ref="B165" r:id="rId29" xr:uid="{87EBE9C9-A7A6-454F-96AE-303A9CD6FC62}"/>
    <hyperlink ref="B69" r:id="rId30" xr:uid="{968DF3F8-DC83-400C-9D37-F0333776B959}"/>
    <hyperlink ref="B116" r:id="rId31" xr:uid="{0F7846AA-87AD-4710-A3E1-66B788460196}"/>
    <hyperlink ref="B55" r:id="rId32" xr:uid="{CA3121E7-47D4-46F0-BAB0-A0EEB1871833}"/>
    <hyperlink ref="B51" r:id="rId33" xr:uid="{90929BD3-6DA1-4974-BC78-C68542305CB6}"/>
    <hyperlink ref="B111" r:id="rId34" xr:uid="{8C744198-9454-4F83-8563-2752CC656238}"/>
    <hyperlink ref="B104" r:id="rId35" xr:uid="{B47E70B1-4709-4F59-8DF6-84286334A5CA}"/>
    <hyperlink ref="B139" r:id="rId36" xr:uid="{0903B5AE-7CED-40AC-A3D8-A2C758077F69}"/>
    <hyperlink ref="B112" r:id="rId37" xr:uid="{15637528-7BDC-4745-8724-E03E68CDE5DD}"/>
    <hyperlink ref="B96" r:id="rId38" xr:uid="{20438E58-445A-432B-9CB6-4F0BF2BA06C8}"/>
    <hyperlink ref="B102" r:id="rId39" xr:uid="{A0A21CA8-ECAB-4C38-BE53-9E2FE2FD3A51}"/>
    <hyperlink ref="B99" r:id="rId40" xr:uid="{18FC998F-9BE0-49C9-9EDE-ED374B4E224D}"/>
    <hyperlink ref="B47" r:id="rId41" xr:uid="{C42F76CA-CC39-4552-9963-BF7C5FF1B289}"/>
    <hyperlink ref="B3" r:id="rId42" xr:uid="{79366607-8582-4C05-BE9B-D6BA5B0BAD05}"/>
    <hyperlink ref="B62" r:id="rId43" xr:uid="{AA175266-3AA9-43CA-B6FA-368CA4D33757}"/>
    <hyperlink ref="B34" r:id="rId44" xr:uid="{6D87E19D-66B4-4C91-8348-EE4D168AAF5B}"/>
    <hyperlink ref="B20" r:id="rId45" xr:uid="{E280C9F6-3D00-468E-B63F-305586CA0B49}"/>
    <hyperlink ref="B54" r:id="rId46" xr:uid="{C5F27A0F-9D67-4B67-91A1-A27B0DAF5EF7}"/>
    <hyperlink ref="B12" r:id="rId47" xr:uid="{DDFB48D3-3B25-4E06-828D-DB40B6E8D3A1}"/>
    <hyperlink ref="B101" r:id="rId48" xr:uid="{0958535D-787D-4261-A38E-9F85341B8ED2}"/>
    <hyperlink ref="B79" r:id="rId49" xr:uid="{AA7188F0-7D57-431F-94C6-04F8BA7C6B81}"/>
    <hyperlink ref="B98" r:id="rId50" xr:uid="{55D83A6C-1B7F-41AA-B649-AFFBFDF514AD}"/>
    <hyperlink ref="B60" r:id="rId51" xr:uid="{53A74897-6E45-4CFE-884B-EFF8E17835A3}"/>
    <hyperlink ref="B46" r:id="rId52" xr:uid="{22206638-EAC7-42FB-8BE1-7FB6A3F759F2}"/>
    <hyperlink ref="B97" r:id="rId53" xr:uid="{CD87E7FC-FFDD-4363-B9D6-A2A210ADCFAB}"/>
    <hyperlink ref="B26" r:id="rId54" xr:uid="{BE0EF0B0-C096-4976-8E06-FD243821BE8F}"/>
    <hyperlink ref="B90" r:id="rId55" xr:uid="{3F63B808-60B8-4244-987F-07C5989302C1}"/>
    <hyperlink ref="B110" r:id="rId56" xr:uid="{21EEBEAB-67DA-43D7-9238-EE43ACD12414}"/>
    <hyperlink ref="B5" r:id="rId57" xr:uid="{219A4BC3-AF46-481D-A056-B0E098962A16}"/>
    <hyperlink ref="B18" r:id="rId58" xr:uid="{72981689-4579-47D3-97E2-313A2BA82FEF}"/>
    <hyperlink ref="B44" r:id="rId59" xr:uid="{70B22DB2-F96E-4B32-9EEA-B9B56918E88D}"/>
    <hyperlink ref="B48" r:id="rId60" xr:uid="{20496433-E08D-4CB5-9CE1-8EFDFA0A5D7F}"/>
    <hyperlink ref="B131" r:id="rId61" xr:uid="{5D19421A-ED78-44DC-9E45-E2A276B9D2EA}"/>
    <hyperlink ref="B70" r:id="rId62" xr:uid="{92115476-3D6B-47E8-A87F-35986FC4597C}"/>
    <hyperlink ref="B84" r:id="rId63" xr:uid="{5DD71533-7249-4A63-B84B-AED84B6DE41E}"/>
    <hyperlink ref="B85" r:id="rId64" xr:uid="{E5D65734-0D17-46D6-8A79-B7E7F22769AA}"/>
    <hyperlink ref="B123" r:id="rId65" xr:uid="{3942B0CD-4CC0-40B3-B17D-F3FA0F40DE7F}"/>
    <hyperlink ref="B135" r:id="rId66" xr:uid="{565A756D-C2E2-436B-A9F3-E0B109A2100E}"/>
    <hyperlink ref="B89" r:id="rId67" xr:uid="{CD0AD316-510F-47DF-B462-0EC429E89728}"/>
    <hyperlink ref="B94" r:id="rId68" xr:uid="{E127DF6D-51DA-48CB-B508-4D69614153C3}"/>
    <hyperlink ref="B109" r:id="rId69" xr:uid="{FE51D232-2543-4990-AC4E-D013D47B59D5}"/>
    <hyperlink ref="B121" r:id="rId70" xr:uid="{6247DF7D-7A02-41BE-ADF9-2E9EF56A38BC}"/>
    <hyperlink ref="B124" r:id="rId71" xr:uid="{9637F07B-6DEB-488D-BAA5-798979C3D157}"/>
    <hyperlink ref="B126" r:id="rId72" xr:uid="{5FB9A8D1-5D43-4C9B-9D8A-9769049698A9}"/>
    <hyperlink ref="B127" r:id="rId73" xr:uid="{C16CA2AC-D180-492E-BCBB-BBF91472B665}"/>
    <hyperlink ref="B129" r:id="rId74" xr:uid="{5ECC6B31-58AE-4372-8179-A70A542AF34D}"/>
    <hyperlink ref="B134" r:id="rId75" xr:uid="{026B377D-7B57-4BC5-8A20-9D2D9308ACFE}"/>
    <hyperlink ref="B132" r:id="rId76" xr:uid="{085FC0BA-670D-4856-9FC1-41DC8A5CF55A}"/>
    <hyperlink ref="B146" r:id="rId77" xr:uid="{E35ED9EC-53D8-4D0D-B492-ED5DE7CBD6A1}"/>
    <hyperlink ref="B147" r:id="rId78" xr:uid="{C56A72EE-D22B-44AE-BDB7-1AB74882E95D}"/>
    <hyperlink ref="B148" r:id="rId79" xr:uid="{1C151640-7E65-4676-9BB3-61FC8BE2A5F6}"/>
    <hyperlink ref="B149" r:id="rId80" xr:uid="{194E5B3B-C7CE-4197-A3CA-D7E1B5B469A9}"/>
    <hyperlink ref="B150" r:id="rId81" xr:uid="{5631C839-CB3F-44D7-8E6D-81163ECB8ABC}"/>
    <hyperlink ref="B151" r:id="rId82" xr:uid="{4455D93F-4A51-426D-AB10-866849C92A5E}"/>
    <hyperlink ref="B152" r:id="rId83" xr:uid="{67037C74-C21F-488F-BAB1-4C6BC3D4EBA4}"/>
    <hyperlink ref="B153" r:id="rId84" xr:uid="{D594D510-1FF6-4FEF-AC25-13EEB2B26A8B}"/>
    <hyperlink ref="B154" r:id="rId85" xr:uid="{7F032239-0654-4768-9823-91A83063F141}"/>
    <hyperlink ref="B155" r:id="rId86" xr:uid="{E6D3F19E-1BE8-4E0A-91C7-8CCADE0DDB5A}"/>
    <hyperlink ref="B156" r:id="rId87" xr:uid="{FF006E9D-3FCF-4DF8-9FCB-A566A2B26D55}"/>
    <hyperlink ref="B158" r:id="rId88" xr:uid="{F8009F6D-B28E-47A9-B7ED-35C3D7EEBEDD}"/>
    <hyperlink ref="B159" r:id="rId89" xr:uid="{DC52C55A-6743-4EB7-B41A-B6FE78A0BE11}"/>
    <hyperlink ref="B160" r:id="rId90" xr:uid="{9D937273-6774-493D-81C4-F7A0A94E14A5}"/>
    <hyperlink ref="B161" r:id="rId91" xr:uid="{4E00088C-315C-4029-91AF-B30E9169D4B6}"/>
    <hyperlink ref="B162" r:id="rId92" xr:uid="{DB9DA4F8-9BD9-490E-AFA8-139AFA4BC632}"/>
    <hyperlink ref="B122" r:id="rId93" xr:uid="{CA39AC5E-6AF2-4B6C-9E3D-8AFD22D8B07B}"/>
    <hyperlink ref="B142" r:id="rId94" xr:uid="{8B7CCAE9-1E3E-4052-9EBD-C477631A39F9}"/>
    <hyperlink ref="B141" r:id="rId95" xr:uid="{EDE5069F-2F7C-4C59-9734-63A05E979740}"/>
    <hyperlink ref="B114" r:id="rId96" xr:uid="{5589DABE-EB7B-4C2C-9AFF-122D4A572E68}"/>
    <hyperlink ref="B23" r:id="rId97" xr:uid="{BA4437AF-360A-4917-9264-E5223DA35FD6}"/>
    <hyperlink ref="B39" r:id="rId98" xr:uid="{05E997A6-EF7E-4023-8CB8-991F4B6FB7E0}"/>
    <hyperlink ref="B41" r:id="rId99" xr:uid="{41F69F3E-A61D-4EAE-8224-5522F4CF1000}"/>
    <hyperlink ref="B71" r:id="rId100" xr:uid="{3A44B17D-CDB9-41B0-A023-EAD8B54BE713}"/>
    <hyperlink ref="B93" r:id="rId101" xr:uid="{F872EE39-4C8E-4FB9-9E9A-431238563916}"/>
    <hyperlink ref="B164" r:id="rId102" xr:uid="{8FEB2827-9EAC-40EA-8B90-770DFB090FAD}"/>
    <hyperlink ref="A168" r:id="rId103" display="Faisal.Zamir@intuitive.AI" xr:uid="{81D70DDD-8AC8-4C0B-B59E-5C2D56B07C8B}"/>
    <hyperlink ref="B168" r:id="rId104" xr:uid="{619B0225-D417-49EC-8072-8EC4260C6F93}"/>
    <hyperlink ref="A144" r:id="rId105" display="karuna.katikala@intuitive.ai" xr:uid="{1CBD3326-434D-4CFA-9B47-3ED9F0C70903}"/>
    <hyperlink ref="B144" r:id="rId106" xr:uid="{3EF07627-EE92-4B0A-8082-731337011DC8}"/>
    <hyperlink ref="B167" r:id="rId107" xr:uid="{B0CFC1CF-53E8-499E-AF90-C28339310D06}"/>
    <hyperlink ref="B170" r:id="rId108" xr:uid="{E654F3FF-EE80-4C91-8761-3ACA554876F5}"/>
    <hyperlink ref="B171" r:id="rId109" xr:uid="{43776359-E6AB-4164-B8C9-72F18DE6E6C2}"/>
    <hyperlink ref="B172" r:id="rId110" xr:uid="{D8ACE0BB-0BA6-4EC5-ACBF-2221DE5C689C}"/>
    <hyperlink ref="B173" r:id="rId111" xr:uid="{0B288B55-2AA7-49AD-AA3B-8E5358B04353}"/>
    <hyperlink ref="B174" r:id="rId112" xr:uid="{8A3B898C-EFBB-459A-9341-55A500D15A06}"/>
    <hyperlink ref="B175" r:id="rId113" xr:uid="{801EB78C-9F5A-4EBA-B914-812F80AFD327}"/>
    <hyperlink ref="B179" r:id="rId114" xr:uid="{8C0A8A2A-4DB8-47CD-96D6-A3E3F988DB28}"/>
    <hyperlink ref="B176" r:id="rId115" xr:uid="{3435413B-C779-4EDB-B38B-AEA48D06D59D}"/>
    <hyperlink ref="B177" r:id="rId116" xr:uid="{CF792BC1-3C35-474B-8059-0D31852DFAC4}"/>
    <hyperlink ref="B178" r:id="rId117" xr:uid="{7432EB53-F5FE-4F5B-B0D5-9712A0AB926F}"/>
    <hyperlink ref="B37" r:id="rId118" xr:uid="{233DE62F-08E5-41D0-B507-90AD4F092BC8}"/>
    <hyperlink ref="B128" r:id="rId119" xr:uid="{C3682CAC-A182-4ADE-8001-FFEF02135A74}"/>
  </hyperlinks>
  <pageMargins left="0.7" right="0.7" top="0.75" bottom="0.75" header="0.3" footer="0.3"/>
  <pageSetup orientation="portrait" r:id="rId12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1AF448-C2D7-9E4A-8F39-785941999CB4}">
          <x14:formula1>
            <xm:f>Sheet2!$A$8:$A$10</xm:f>
          </x14:formula1>
          <xm:sqref>C20 C22:C45 C1:C15 C51 C55 C140 C103</xm:sqref>
        </x14:dataValidation>
        <x14:dataValidation type="list" allowBlank="1" showInputMessage="1" showErrorMessage="1" xr:uid="{B9DE47BC-EF8E-6F45-938F-F704F6A17E4F}">
          <x14:formula1>
            <xm:f>Sheet2!$A$16:$A$22</xm:f>
          </x14:formula1>
          <xm:sqref>D44:D45 D2:D41 D79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5163-8F44-4048-A0A6-808243E90A47}">
  <dimension ref="A1:D61"/>
  <sheetViews>
    <sheetView topLeftCell="A50" workbookViewId="0">
      <selection activeCell="F13" sqref="F13"/>
    </sheetView>
  </sheetViews>
  <sheetFormatPr defaultColWidth="8.875" defaultRowHeight="15.95"/>
  <cols>
    <col min="1" max="1" width="31.5" customWidth="1"/>
  </cols>
  <sheetData>
    <row r="1" spans="1:4">
      <c r="A1" s="5" t="s">
        <v>0</v>
      </c>
      <c r="B1" s="5" t="s">
        <v>1</v>
      </c>
      <c r="C1" s="6" t="s">
        <v>2</v>
      </c>
      <c r="D1" s="5" t="s">
        <v>3</v>
      </c>
    </row>
    <row r="2" spans="1:4">
      <c r="A2" s="2" t="s">
        <v>15</v>
      </c>
      <c r="B2" s="4" t="s">
        <v>16</v>
      </c>
      <c r="C2" s="7" t="s">
        <v>2</v>
      </c>
      <c r="D2" s="2" t="s">
        <v>17</v>
      </c>
    </row>
    <row r="3" spans="1:4">
      <c r="A3" s="2" t="s">
        <v>25</v>
      </c>
      <c r="B3" s="4" t="s">
        <v>26</v>
      </c>
      <c r="C3" s="7" t="s">
        <v>2</v>
      </c>
      <c r="D3" s="2" t="s">
        <v>27</v>
      </c>
    </row>
    <row r="4" spans="1:4">
      <c r="A4" s="2" t="s">
        <v>34</v>
      </c>
      <c r="B4" s="4" t="s">
        <v>35</v>
      </c>
      <c r="C4" s="7" t="s">
        <v>2</v>
      </c>
      <c r="D4" s="2" t="s">
        <v>36</v>
      </c>
    </row>
    <row r="5" spans="1:4">
      <c r="A5" s="2" t="s">
        <v>39</v>
      </c>
      <c r="B5" s="4" t="s">
        <v>40</v>
      </c>
      <c r="C5" s="7" t="s">
        <v>2</v>
      </c>
      <c r="D5" s="2" t="s">
        <v>36</v>
      </c>
    </row>
    <row r="6" spans="1:4">
      <c r="A6" s="2" t="s">
        <v>41</v>
      </c>
      <c r="B6" s="4" t="s">
        <v>42</v>
      </c>
      <c r="C6" s="7" t="s">
        <v>2</v>
      </c>
      <c r="D6" s="2" t="s">
        <v>17</v>
      </c>
    </row>
    <row r="7" spans="1:4">
      <c r="A7" s="2" t="s">
        <v>51</v>
      </c>
      <c r="B7" s="4" t="s">
        <v>52</v>
      </c>
      <c r="C7" s="7" t="s">
        <v>2</v>
      </c>
      <c r="D7" s="2" t="s">
        <v>36</v>
      </c>
    </row>
    <row r="8" spans="1:4">
      <c r="A8" s="2" t="s">
        <v>58</v>
      </c>
      <c r="B8" s="4" t="s">
        <v>59</v>
      </c>
      <c r="C8" s="7" t="s">
        <v>2</v>
      </c>
      <c r="D8" s="2" t="s">
        <v>36</v>
      </c>
    </row>
    <row r="9" spans="1:4">
      <c r="A9" s="2" t="s">
        <v>62</v>
      </c>
      <c r="B9" s="4" t="s">
        <v>63</v>
      </c>
      <c r="C9" s="7" t="s">
        <v>2</v>
      </c>
      <c r="D9" s="2" t="s">
        <v>17</v>
      </c>
    </row>
    <row r="10" spans="1:4">
      <c r="A10" s="2" t="s">
        <v>78</v>
      </c>
      <c r="B10" s="4" t="s">
        <v>79</v>
      </c>
      <c r="C10" s="7" t="s">
        <v>2</v>
      </c>
      <c r="D10" s="2" t="s">
        <v>17</v>
      </c>
    </row>
    <row r="11" spans="1:4">
      <c r="A11" s="2" t="s">
        <v>91</v>
      </c>
      <c r="B11" s="4" t="s">
        <v>92</v>
      </c>
      <c r="C11" s="7" t="s">
        <v>2</v>
      </c>
      <c r="D11" s="2" t="s">
        <v>36</v>
      </c>
    </row>
    <row r="12" spans="1:4">
      <c r="A12" s="2" t="s">
        <v>95</v>
      </c>
      <c r="B12" s="4" t="s">
        <v>96</v>
      </c>
      <c r="C12" s="7" t="s">
        <v>2</v>
      </c>
      <c r="D12" s="2" t="s">
        <v>36</v>
      </c>
    </row>
    <row r="13" spans="1:4">
      <c r="A13" s="2" t="s">
        <v>103</v>
      </c>
      <c r="B13" s="4" t="s">
        <v>104</v>
      </c>
      <c r="C13" s="7" t="s">
        <v>2</v>
      </c>
      <c r="D13" s="2" t="s">
        <v>69</v>
      </c>
    </row>
    <row r="14" spans="1:4">
      <c r="A14" s="2" t="s">
        <v>107</v>
      </c>
      <c r="B14" s="4" t="s">
        <v>108</v>
      </c>
      <c r="C14" s="7" t="s">
        <v>2</v>
      </c>
      <c r="D14" s="2" t="s">
        <v>36</v>
      </c>
    </row>
    <row r="15" spans="1:4">
      <c r="A15" s="2" t="s">
        <v>110</v>
      </c>
      <c r="B15" s="4" t="s">
        <v>111</v>
      </c>
      <c r="C15" s="7" t="s">
        <v>2</v>
      </c>
      <c r="D15" s="2" t="s">
        <v>17</v>
      </c>
    </row>
    <row r="16" spans="1:4">
      <c r="A16" s="2" t="s">
        <v>114</v>
      </c>
      <c r="B16" s="4" t="s">
        <v>115</v>
      </c>
      <c r="C16" s="7" t="s">
        <v>2</v>
      </c>
      <c r="D16" s="14" t="s">
        <v>17</v>
      </c>
    </row>
    <row r="17" spans="1:4">
      <c r="A17" s="2" t="s">
        <v>118</v>
      </c>
      <c r="B17" s="4" t="s">
        <v>119</v>
      </c>
      <c r="C17" s="7" t="s">
        <v>2</v>
      </c>
      <c r="D17" s="2" t="s">
        <v>17</v>
      </c>
    </row>
    <row r="18" spans="1:4">
      <c r="A18" s="2" t="s">
        <v>123</v>
      </c>
      <c r="B18" s="4" t="s">
        <v>124</v>
      </c>
      <c r="C18" s="7" t="s">
        <v>2</v>
      </c>
      <c r="D18" s="2" t="s">
        <v>17</v>
      </c>
    </row>
    <row r="19" spans="1:4">
      <c r="A19" s="2" t="s">
        <v>126</v>
      </c>
      <c r="B19" s="4" t="s">
        <v>127</v>
      </c>
      <c r="C19" s="7" t="s">
        <v>2</v>
      </c>
      <c r="D19" s="2" t="s">
        <v>17</v>
      </c>
    </row>
    <row r="20" spans="1:4">
      <c r="A20" s="23" t="s">
        <v>128</v>
      </c>
      <c r="B20" s="4" t="s">
        <v>129</v>
      </c>
      <c r="C20" s="7" t="s">
        <v>2</v>
      </c>
      <c r="D20" s="14" t="s">
        <v>69</v>
      </c>
    </row>
    <row r="21" spans="1:4" ht="68.099999999999994">
      <c r="A21" s="2" t="s">
        <v>135</v>
      </c>
      <c r="B21" s="94" t="s">
        <v>136</v>
      </c>
      <c r="C21" s="68" t="s">
        <v>2</v>
      </c>
      <c r="D21" s="2" t="s">
        <v>17</v>
      </c>
    </row>
    <row r="22" spans="1:4">
      <c r="A22" s="2" t="s">
        <v>140</v>
      </c>
      <c r="B22" s="4" t="s">
        <v>141</v>
      </c>
      <c r="C22" s="7" t="s">
        <v>2</v>
      </c>
      <c r="D22" s="25" t="s">
        <v>17</v>
      </c>
    </row>
    <row r="23" spans="1:4">
      <c r="A23" s="2" t="s">
        <v>142</v>
      </c>
      <c r="B23" s="4" t="s">
        <v>143</v>
      </c>
      <c r="C23" s="7" t="s">
        <v>2</v>
      </c>
      <c r="D23" s="25" t="s">
        <v>17</v>
      </c>
    </row>
    <row r="24" spans="1:4">
      <c r="A24" s="2" t="s">
        <v>147</v>
      </c>
      <c r="B24" s="4" t="s">
        <v>148</v>
      </c>
      <c r="C24" s="7" t="s">
        <v>2</v>
      </c>
      <c r="D24" s="14" t="s">
        <v>36</v>
      </c>
    </row>
    <row r="25" spans="1:4">
      <c r="A25" s="14" t="s">
        <v>156</v>
      </c>
      <c r="B25" s="24" t="s">
        <v>157</v>
      </c>
      <c r="C25" s="42" t="s">
        <v>2</v>
      </c>
      <c r="D25" s="14" t="s">
        <v>17</v>
      </c>
    </row>
    <row r="26" spans="1:4">
      <c r="A26" s="14" t="s">
        <v>159</v>
      </c>
      <c r="B26" s="24" t="s">
        <v>160</v>
      </c>
      <c r="C26" s="42" t="s">
        <v>2</v>
      </c>
      <c r="D26" s="14" t="s">
        <v>36</v>
      </c>
    </row>
    <row r="27" spans="1:4">
      <c r="A27" s="14" t="s">
        <v>173</v>
      </c>
      <c r="B27" s="24" t="s">
        <v>174</v>
      </c>
      <c r="C27" s="42" t="s">
        <v>2</v>
      </c>
      <c r="D27" s="14" t="s">
        <v>36</v>
      </c>
    </row>
    <row r="28" spans="1:4">
      <c r="A28" s="14" t="s">
        <v>176</v>
      </c>
      <c r="B28" s="24" t="s">
        <v>177</v>
      </c>
      <c r="C28" s="42" t="s">
        <v>2</v>
      </c>
      <c r="D28" s="14" t="s">
        <v>36</v>
      </c>
    </row>
    <row r="29" spans="1:4">
      <c r="A29" s="14" t="s">
        <v>179</v>
      </c>
      <c r="B29" s="24" t="s">
        <v>180</v>
      </c>
      <c r="C29" s="42" t="s">
        <v>2</v>
      </c>
      <c r="D29" s="14" t="s">
        <v>69</v>
      </c>
    </row>
    <row r="30" spans="1:4">
      <c r="A30" s="13" t="s">
        <v>183</v>
      </c>
      <c r="B30" s="24" t="s">
        <v>184</v>
      </c>
      <c r="C30" s="42" t="s">
        <v>2</v>
      </c>
      <c r="D30" s="14" t="s">
        <v>36</v>
      </c>
    </row>
    <row r="31" spans="1:4">
      <c r="A31" s="14" t="s">
        <v>192</v>
      </c>
      <c r="B31" s="24" t="s">
        <v>193</v>
      </c>
      <c r="C31" s="42" t="s">
        <v>2</v>
      </c>
      <c r="D31" s="18" t="s">
        <v>36</v>
      </c>
    </row>
    <row r="32" spans="1:4">
      <c r="A32" s="13" t="s">
        <v>202</v>
      </c>
      <c r="B32" s="24" t="s">
        <v>203</v>
      </c>
      <c r="C32" s="42" t="s">
        <v>2</v>
      </c>
      <c r="D32" s="14" t="s">
        <v>36</v>
      </c>
    </row>
    <row r="33" spans="1:4">
      <c r="A33" s="14" t="s">
        <v>213</v>
      </c>
      <c r="B33" s="24" t="s">
        <v>214</v>
      </c>
      <c r="C33" s="42" t="s">
        <v>2</v>
      </c>
      <c r="D33" s="14" t="s">
        <v>36</v>
      </c>
    </row>
    <row r="34" spans="1:4">
      <c r="A34" s="14" t="s">
        <v>215</v>
      </c>
      <c r="B34" s="24" t="s">
        <v>216</v>
      </c>
      <c r="C34" s="42" t="s">
        <v>2</v>
      </c>
      <c r="D34" s="14" t="s">
        <v>36</v>
      </c>
    </row>
    <row r="35" spans="1:4">
      <c r="A35" s="14" t="s">
        <v>220</v>
      </c>
      <c r="B35" s="24" t="s">
        <v>221</v>
      </c>
      <c r="C35" s="42" t="s">
        <v>2</v>
      </c>
      <c r="D35" s="14" t="s">
        <v>36</v>
      </c>
    </row>
    <row r="36" spans="1:4">
      <c r="A36" s="13" t="s">
        <v>224</v>
      </c>
      <c r="B36" s="24" t="s">
        <v>225</v>
      </c>
      <c r="C36" s="42" t="s">
        <v>2</v>
      </c>
      <c r="D36" s="14" t="s">
        <v>17</v>
      </c>
    </row>
    <row r="37" spans="1:4">
      <c r="A37" s="13" t="s">
        <v>232</v>
      </c>
      <c r="B37" s="24" t="s">
        <v>233</v>
      </c>
      <c r="C37" s="42" t="s">
        <v>2</v>
      </c>
      <c r="D37" s="18" t="s">
        <v>36</v>
      </c>
    </row>
    <row r="38" spans="1:4">
      <c r="A38" s="14" t="s">
        <v>234</v>
      </c>
      <c r="B38" s="24" t="s">
        <v>235</v>
      </c>
      <c r="C38" s="42" t="s">
        <v>2</v>
      </c>
      <c r="D38" s="14" t="s">
        <v>17</v>
      </c>
    </row>
    <row r="39" spans="1:4">
      <c r="A39" s="13" t="s">
        <v>240</v>
      </c>
      <c r="B39" s="24" t="s">
        <v>241</v>
      </c>
      <c r="C39" s="42" t="s">
        <v>2</v>
      </c>
      <c r="D39" s="14" t="s">
        <v>36</v>
      </c>
    </row>
    <row r="40" spans="1:4">
      <c r="A40" s="14" t="s">
        <v>244</v>
      </c>
      <c r="B40" s="78" t="s">
        <v>245</v>
      </c>
      <c r="C40" s="7" t="s">
        <v>2</v>
      </c>
      <c r="D40" s="14" t="s">
        <v>36</v>
      </c>
    </row>
    <row r="41" spans="1:4">
      <c r="A41" s="13" t="s">
        <v>250</v>
      </c>
      <c r="B41" s="24" t="s">
        <v>251</v>
      </c>
      <c r="C41" s="42" t="s">
        <v>2</v>
      </c>
      <c r="D41" s="18" t="s">
        <v>36</v>
      </c>
    </row>
    <row r="42" spans="1:4">
      <c r="A42" s="22" t="s">
        <v>269</v>
      </c>
      <c r="B42" s="24" t="s">
        <v>270</v>
      </c>
      <c r="C42" s="7" t="s">
        <v>2</v>
      </c>
      <c r="D42" s="36" t="s">
        <v>36</v>
      </c>
    </row>
    <row r="43" spans="1:4">
      <c r="A43" s="22" t="s">
        <v>278</v>
      </c>
      <c r="B43" s="35" t="s">
        <v>279</v>
      </c>
      <c r="C43" s="42" t="s">
        <v>2</v>
      </c>
      <c r="D43" s="36" t="s">
        <v>280</v>
      </c>
    </row>
    <row r="44" spans="1:4">
      <c r="A44" s="22" t="s">
        <v>295</v>
      </c>
      <c r="B44" s="35" t="s">
        <v>296</v>
      </c>
      <c r="C44" s="42" t="s">
        <v>2</v>
      </c>
      <c r="D44" s="36" t="s">
        <v>36</v>
      </c>
    </row>
    <row r="45" spans="1:4">
      <c r="A45" s="14" t="s">
        <v>297</v>
      </c>
      <c r="B45" s="24" t="s">
        <v>298</v>
      </c>
      <c r="C45" s="42" t="s">
        <v>2</v>
      </c>
      <c r="D45" s="14" t="s">
        <v>166</v>
      </c>
    </row>
    <row r="46" spans="1:4">
      <c r="A46" s="13" t="s">
        <v>300</v>
      </c>
      <c r="B46" s="24" t="s">
        <v>301</v>
      </c>
      <c r="C46" s="42" t="s">
        <v>2</v>
      </c>
      <c r="D46" s="14" t="s">
        <v>69</v>
      </c>
    </row>
    <row r="47" spans="1:4">
      <c r="A47" s="13" t="s">
        <v>304</v>
      </c>
      <c r="B47" s="24" t="s">
        <v>305</v>
      </c>
      <c r="C47" s="42" t="s">
        <v>2</v>
      </c>
      <c r="D47" s="14" t="s">
        <v>36</v>
      </c>
    </row>
    <row r="48" spans="1:4">
      <c r="A48" s="13" t="s">
        <v>308</v>
      </c>
      <c r="B48" s="24" t="s">
        <v>309</v>
      </c>
      <c r="C48" s="42" t="s">
        <v>2</v>
      </c>
      <c r="D48" s="14" t="s">
        <v>166</v>
      </c>
    </row>
    <row r="49" spans="1:4">
      <c r="A49" s="13" t="s">
        <v>310</v>
      </c>
      <c r="B49" s="24" t="s">
        <v>311</v>
      </c>
      <c r="C49" s="42" t="s">
        <v>2</v>
      </c>
      <c r="D49" s="14" t="s">
        <v>166</v>
      </c>
    </row>
    <row r="50" spans="1:4">
      <c r="A50" s="22" t="s">
        <v>320</v>
      </c>
      <c r="B50" s="35" t="s">
        <v>321</v>
      </c>
      <c r="C50" s="42" t="s">
        <v>2</v>
      </c>
      <c r="D50" s="14" t="s">
        <v>69</v>
      </c>
    </row>
    <row r="51" spans="1:4">
      <c r="A51" s="59" t="s">
        <v>330</v>
      </c>
      <c r="B51" s="35" t="s">
        <v>331</v>
      </c>
      <c r="C51" s="42" t="s">
        <v>2</v>
      </c>
      <c r="D51" s="14" t="s">
        <v>332</v>
      </c>
    </row>
    <row r="52" spans="1:4">
      <c r="A52" s="22" t="s">
        <v>335</v>
      </c>
      <c r="B52" s="35" t="s">
        <v>336</v>
      </c>
      <c r="C52" s="42" t="s">
        <v>2</v>
      </c>
      <c r="D52" s="14" t="s">
        <v>337</v>
      </c>
    </row>
    <row r="53" spans="1:4">
      <c r="A53" s="22" t="s">
        <v>338</v>
      </c>
      <c r="B53" s="35" t="s">
        <v>339</v>
      </c>
      <c r="C53" s="42" t="s">
        <v>2</v>
      </c>
      <c r="D53" s="14" t="s">
        <v>17</v>
      </c>
    </row>
    <row r="54" spans="1:4">
      <c r="A54" s="22" t="s">
        <v>340</v>
      </c>
      <c r="B54" s="35" t="s">
        <v>341</v>
      </c>
      <c r="C54" s="42" t="s">
        <v>2</v>
      </c>
      <c r="D54" s="36" t="s">
        <v>17</v>
      </c>
    </row>
    <row r="55" spans="1:4">
      <c r="A55" s="22" t="s">
        <v>347</v>
      </c>
      <c r="B55" s="35" t="s">
        <v>348</v>
      </c>
      <c r="C55" s="42" t="s">
        <v>2</v>
      </c>
      <c r="D55" s="36" t="s">
        <v>17</v>
      </c>
    </row>
    <row r="56" spans="1:4">
      <c r="A56" s="22" t="s">
        <v>353</v>
      </c>
      <c r="B56" s="35" t="s">
        <v>354</v>
      </c>
      <c r="C56" s="42" t="s">
        <v>2</v>
      </c>
      <c r="D56" s="36" t="s">
        <v>166</v>
      </c>
    </row>
    <row r="57" spans="1:4">
      <c r="A57" s="14" t="s">
        <v>365</v>
      </c>
      <c r="B57" s="14"/>
      <c r="C57" s="42" t="s">
        <v>2</v>
      </c>
      <c r="D57" s="14" t="s">
        <v>17</v>
      </c>
    </row>
    <row r="58" spans="1:4" ht="68.099999999999994">
      <c r="A58" s="14" t="s">
        <v>366</v>
      </c>
      <c r="B58" s="96" t="s">
        <v>367</v>
      </c>
      <c r="C58" s="42" t="s">
        <v>2</v>
      </c>
      <c r="D58" s="14" t="s">
        <v>69</v>
      </c>
    </row>
    <row r="59" spans="1:4">
      <c r="A59" s="25" t="s">
        <v>392</v>
      </c>
      <c r="B59" s="43" t="s">
        <v>393</v>
      </c>
      <c r="C59" s="42" t="s">
        <v>2</v>
      </c>
      <c r="D59" s="14" t="s">
        <v>36</v>
      </c>
    </row>
    <row r="60" spans="1:4">
      <c r="A60" s="93" t="s">
        <v>412</v>
      </c>
      <c r="B60" s="97" t="s">
        <v>413</v>
      </c>
      <c r="C60" s="42" t="s">
        <v>2</v>
      </c>
      <c r="D60" s="18" t="s">
        <v>36</v>
      </c>
    </row>
    <row r="61" spans="1:4" ht="68.099999999999994">
      <c r="A61" s="93" t="s">
        <v>418</v>
      </c>
      <c r="B61" s="95" t="s">
        <v>419</v>
      </c>
      <c r="C61" s="42" t="s">
        <v>2</v>
      </c>
      <c r="D61" s="18" t="s">
        <v>36</v>
      </c>
    </row>
  </sheetData>
  <hyperlinks>
    <hyperlink ref="B2" r:id="rId1" xr:uid="{0624C68E-6DA4-4227-B0A0-E6274DB536DE}"/>
    <hyperlink ref="B3" r:id="rId2" xr:uid="{69FBD512-8086-4258-ACF4-53F7E75F82E2}"/>
    <hyperlink ref="B7" r:id="rId3" xr:uid="{58BBA6E7-DDEB-4E22-9AED-7BC8ECBF7026}"/>
    <hyperlink ref="B8" r:id="rId4" xr:uid="{2A16891E-5A8A-49F3-8E56-00F2DC3750F0}"/>
    <hyperlink ref="B9" r:id="rId5" xr:uid="{C2C9BAE0-0E97-4368-8C3B-7817704812DA}"/>
    <hyperlink ref="B12" r:id="rId6" xr:uid="{1AAC517B-6C23-4CFD-86C0-D35164F9615B}"/>
    <hyperlink ref="B11" r:id="rId7" xr:uid="{EE36422A-A68E-4D73-B5A1-D71EA09586AF}"/>
    <hyperlink ref="B13" r:id="rId8" xr:uid="{454A5F47-164E-456C-82CF-6383B67D762D}"/>
    <hyperlink ref="B14" r:id="rId9" xr:uid="{C81C1365-EC6F-42EA-BEC7-E2CFEA7886C5}"/>
    <hyperlink ref="B16" r:id="rId10" xr:uid="{5EBF1EBC-97ED-4C1C-86DC-62EBB4962785}"/>
    <hyperlink ref="B20" r:id="rId11" xr:uid="{602C1DB9-3297-4078-B6E5-032A716A9B18}"/>
    <hyperlink ref="B22" r:id="rId12" xr:uid="{160D0BAA-3BB0-4471-B48F-FBAFC504CD55}"/>
    <hyperlink ref="B23" r:id="rId13" xr:uid="{E30D7CFC-D34B-4B22-82FD-B6BD6778515B}"/>
    <hyperlink ref="B25" r:id="rId14" xr:uid="{26956105-6F22-4F83-AF70-310C42912321}"/>
    <hyperlink ref="B28" r:id="rId15" xr:uid="{79CBC886-8EBF-485F-AFC8-52E4CA6CF40B}"/>
    <hyperlink ref="B29" r:id="rId16" xr:uid="{5C9B9A97-E19E-41B2-9A81-AADB427AD59C}"/>
    <hyperlink ref="B34" r:id="rId17" xr:uid="{526C0752-4AA9-4F57-BE1B-AC4FD3F8F254}"/>
    <hyperlink ref="B38" r:id="rId18" xr:uid="{5F9D53EA-16D3-480E-8972-167B90A8BC4B}"/>
    <hyperlink ref="B40" r:id="rId19" xr:uid="{F07642DF-5B83-4CAE-9DBF-1DC7220E49FF}"/>
    <hyperlink ref="B42" r:id="rId20" xr:uid="{A1472574-4BD2-4B56-9781-D91105506F5D}"/>
    <hyperlink ref="B43" r:id="rId21" xr:uid="{7B443713-F0E8-48D3-B99A-30BA696BB04C}"/>
    <hyperlink ref="B44" r:id="rId22" xr:uid="{FD5A6843-9BCD-48C8-B154-EA550A253197}"/>
    <hyperlink ref="B45" r:id="rId23" xr:uid="{AE8A480D-729F-4B7E-B474-8D07B4DE6B8F}"/>
    <hyperlink ref="B50" r:id="rId24" xr:uid="{3D6341E6-9914-4C17-A93D-E399F34D4499}"/>
    <hyperlink ref="B51" r:id="rId25" xr:uid="{78696BEE-E89D-4877-A093-9DBB17F72533}"/>
    <hyperlink ref="B53" r:id="rId26" xr:uid="{681BE980-7420-481C-83E9-29184BFA6791}"/>
    <hyperlink ref="B54" r:id="rId27" xr:uid="{54EA2E3F-45E8-4C72-8EB2-D65300FD75DB}"/>
    <hyperlink ref="B55" r:id="rId28" xr:uid="{EA54A0C1-2848-4DF9-9D13-08DDFC317463}"/>
    <hyperlink ref="B56" r:id="rId29" xr:uid="{8C685B45-C220-4641-BE2C-A26DEF86F42E}"/>
    <hyperlink ref="A58" r:id="rId30" display="karuna.katikala@intuitive.ai" xr:uid="{9834F347-7DD9-4079-B6A1-5B2F141AE0BD}"/>
    <hyperlink ref="B58" r:id="rId31" xr:uid="{03F444EF-D602-46AF-909E-4C785B4134CC}"/>
    <hyperlink ref="B59" r:id="rId32" xr:uid="{A616379B-A77C-4365-88A1-EF26F338A466}"/>
  </hyperlinks>
  <pageMargins left="0.7" right="0.7" top="0.75" bottom="0.75" header="0.3" footer="0.3"/>
  <pageSetup orientation="portrait" r:id="rId3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C6DA54-E853-4E2D-81CB-6213D13B3511}">
          <x14:formula1>
            <xm:f>Sheet2!$A$16:$A$22</xm:f>
          </x14:formula1>
          <xm:sqref>D2:D21 D24</xm:sqref>
        </x14:dataValidation>
        <x14:dataValidation type="list" allowBlank="1" showInputMessage="1" showErrorMessage="1" xr:uid="{98C4D3CF-DDB2-46E7-8D88-5C28F35C85B2}">
          <x14:formula1>
            <xm:f>Sheet2!$A$8:$A$10</xm:f>
          </x14:formula1>
          <xm:sqref>C1:C9 C11:C24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B212-6DD0-4C60-870B-FDFA30F36FB3}">
  <dimension ref="A1:G63"/>
  <sheetViews>
    <sheetView workbookViewId="0">
      <selection activeCell="F63" sqref="F63"/>
    </sheetView>
  </sheetViews>
  <sheetFormatPr defaultColWidth="8.625" defaultRowHeight="15"/>
  <cols>
    <col min="1" max="1" width="13.625" style="86" bestFit="1" customWidth="1"/>
    <col min="2" max="2" width="21.125" style="86" customWidth="1"/>
    <col min="3" max="3" width="95.5" style="86" customWidth="1"/>
    <col min="4" max="4" width="13.625" style="86" customWidth="1"/>
    <col min="5" max="5" width="30.625" style="86" customWidth="1"/>
    <col min="6" max="16384" width="8.625" style="86"/>
  </cols>
  <sheetData>
    <row r="1" spans="1:7">
      <c r="A1" s="85" t="s">
        <v>451</v>
      </c>
      <c r="B1" s="85"/>
      <c r="C1" s="85"/>
      <c r="D1" s="85"/>
      <c r="E1" s="85"/>
    </row>
    <row r="2" spans="1:7" ht="18.95">
      <c r="A2" s="87" t="s">
        <v>452</v>
      </c>
      <c r="B2" s="87" t="s">
        <v>453</v>
      </c>
      <c r="C2" s="87" t="s">
        <v>454</v>
      </c>
      <c r="D2" s="87" t="s">
        <v>455</v>
      </c>
      <c r="E2" s="87" t="s">
        <v>456</v>
      </c>
      <c r="F2" s="86" t="s">
        <v>457</v>
      </c>
    </row>
    <row r="3" spans="1:7" ht="17.100000000000001">
      <c r="A3" s="88">
        <v>14</v>
      </c>
      <c r="B3" s="88" t="s">
        <v>458</v>
      </c>
      <c r="C3" s="90" t="s">
        <v>69</v>
      </c>
      <c r="D3" s="89">
        <v>45844</v>
      </c>
      <c r="E3" s="91" t="s">
        <v>459</v>
      </c>
      <c r="F3" s="86">
        <v>0.5</v>
      </c>
    </row>
    <row r="4" spans="1:7" ht="17.100000000000001">
      <c r="A4" s="88">
        <v>11</v>
      </c>
      <c r="B4" s="88" t="s">
        <v>458</v>
      </c>
      <c r="C4" s="90" t="s">
        <v>166</v>
      </c>
      <c r="D4" s="89">
        <v>46057</v>
      </c>
      <c r="E4" s="88" t="s">
        <v>460</v>
      </c>
      <c r="F4" s="86">
        <v>0.5</v>
      </c>
    </row>
    <row r="5" spans="1:7" ht="17.100000000000001">
      <c r="A5" s="88">
        <v>9</v>
      </c>
      <c r="B5" s="88" t="s">
        <v>461</v>
      </c>
      <c r="C5" s="90" t="s">
        <v>462</v>
      </c>
      <c r="D5" s="89">
        <v>46050</v>
      </c>
      <c r="E5" s="88" t="s">
        <v>460</v>
      </c>
      <c r="F5" s="86">
        <v>0.25</v>
      </c>
    </row>
    <row r="6" spans="1:7" ht="17.100000000000001">
      <c r="A6" s="88">
        <v>46</v>
      </c>
      <c r="B6" s="88" t="s">
        <v>458</v>
      </c>
      <c r="C6" s="90" t="s">
        <v>166</v>
      </c>
      <c r="D6" s="89">
        <v>46019</v>
      </c>
      <c r="E6" s="88" t="s">
        <v>463</v>
      </c>
      <c r="F6" s="86">
        <v>0.5</v>
      </c>
    </row>
    <row r="7" spans="1:7" ht="17.100000000000001">
      <c r="A7" s="88">
        <v>17</v>
      </c>
      <c r="B7" s="88" t="s">
        <v>461</v>
      </c>
      <c r="C7" s="90" t="s">
        <v>464</v>
      </c>
      <c r="D7" s="89">
        <v>46056</v>
      </c>
      <c r="E7" s="88" t="s">
        <v>465</v>
      </c>
      <c r="F7" s="86">
        <v>0.25</v>
      </c>
    </row>
    <row r="8" spans="1:7" ht="17.100000000000001">
      <c r="A8" s="88">
        <v>48</v>
      </c>
      <c r="B8" s="88" t="s">
        <v>461</v>
      </c>
      <c r="C8" s="90" t="s">
        <v>462</v>
      </c>
      <c r="D8" s="89">
        <v>46037</v>
      </c>
      <c r="E8" s="88" t="s">
        <v>466</v>
      </c>
      <c r="F8" s="86">
        <v>0.25</v>
      </c>
    </row>
    <row r="9" spans="1:7" ht="17.100000000000001">
      <c r="A9" s="88">
        <v>40</v>
      </c>
      <c r="B9" s="88" t="s">
        <v>458</v>
      </c>
      <c r="C9" s="90" t="s">
        <v>166</v>
      </c>
      <c r="D9" s="89">
        <v>45985</v>
      </c>
      <c r="E9" s="88" t="s">
        <v>467</v>
      </c>
      <c r="F9" s="86">
        <v>0.5</v>
      </c>
      <c r="G9" s="86">
        <f t="shared" ref="G9:G61" si="0">COUNTIF(E:E,E9)</f>
        <v>1</v>
      </c>
    </row>
    <row r="10" spans="1:7" ht="17.100000000000001">
      <c r="A10" s="88">
        <v>13</v>
      </c>
      <c r="B10" s="88" t="s">
        <v>458</v>
      </c>
      <c r="C10" s="90" t="s">
        <v>166</v>
      </c>
      <c r="D10" s="89">
        <v>46026</v>
      </c>
      <c r="E10" s="88" t="s">
        <v>468</v>
      </c>
      <c r="F10" s="86">
        <v>0.5</v>
      </c>
      <c r="G10" s="86">
        <f t="shared" si="0"/>
        <v>1</v>
      </c>
    </row>
    <row r="11" spans="1:7" ht="17.100000000000001">
      <c r="A11" s="88">
        <v>8</v>
      </c>
      <c r="B11" s="88" t="s">
        <v>458</v>
      </c>
      <c r="C11" s="90" t="s">
        <v>166</v>
      </c>
      <c r="D11" s="89">
        <v>45979</v>
      </c>
      <c r="E11" s="88" t="s">
        <v>469</v>
      </c>
      <c r="F11" s="86">
        <v>0.5</v>
      </c>
      <c r="G11" s="86">
        <f t="shared" si="0"/>
        <v>1</v>
      </c>
    </row>
    <row r="12" spans="1:7" ht="17.100000000000001">
      <c r="A12" s="88">
        <v>51</v>
      </c>
      <c r="B12" s="88" t="s">
        <v>458</v>
      </c>
      <c r="C12" s="90" t="s">
        <v>166</v>
      </c>
      <c r="D12" s="89">
        <v>46047</v>
      </c>
      <c r="E12" s="88" t="s">
        <v>470</v>
      </c>
      <c r="F12" s="86">
        <v>0.5</v>
      </c>
      <c r="G12" s="86">
        <f t="shared" si="0"/>
        <v>1</v>
      </c>
    </row>
    <row r="13" spans="1:7" ht="17.100000000000001">
      <c r="A13" s="88">
        <v>33</v>
      </c>
      <c r="B13" s="88" t="s">
        <v>458</v>
      </c>
      <c r="C13" s="90" t="s">
        <v>166</v>
      </c>
      <c r="D13" s="89">
        <v>46031</v>
      </c>
      <c r="E13" s="88" t="s">
        <v>471</v>
      </c>
      <c r="F13" s="86">
        <v>0.5</v>
      </c>
      <c r="G13" s="86">
        <f t="shared" si="0"/>
        <v>1</v>
      </c>
    </row>
    <row r="14" spans="1:7" ht="17.100000000000001">
      <c r="A14" s="88">
        <v>57</v>
      </c>
      <c r="B14" s="88" t="s">
        <v>461</v>
      </c>
      <c r="C14" s="90" t="s">
        <v>472</v>
      </c>
      <c r="D14" s="89">
        <v>46094</v>
      </c>
      <c r="E14" s="88" t="s">
        <v>473</v>
      </c>
      <c r="F14" s="86">
        <v>0.25</v>
      </c>
      <c r="G14" s="86">
        <f t="shared" si="0"/>
        <v>2</v>
      </c>
    </row>
    <row r="15" spans="1:7" ht="17.100000000000001">
      <c r="A15" s="88">
        <v>56</v>
      </c>
      <c r="B15" s="88" t="s">
        <v>461</v>
      </c>
      <c r="C15" s="90" t="s">
        <v>474</v>
      </c>
      <c r="D15" s="89">
        <v>46097</v>
      </c>
      <c r="E15" s="88" t="s">
        <v>473</v>
      </c>
      <c r="F15" s="86">
        <v>0.25</v>
      </c>
      <c r="G15" s="86">
        <f t="shared" si="0"/>
        <v>2</v>
      </c>
    </row>
    <row r="16" spans="1:7" ht="17.100000000000001">
      <c r="A16" s="88">
        <v>27</v>
      </c>
      <c r="B16" s="88" t="s">
        <v>461</v>
      </c>
      <c r="C16" s="90" t="s">
        <v>475</v>
      </c>
      <c r="D16" s="89">
        <v>46084</v>
      </c>
      <c r="E16" s="88" t="s">
        <v>476</v>
      </c>
      <c r="F16" s="86">
        <v>0.25</v>
      </c>
      <c r="G16" s="86">
        <f t="shared" si="0"/>
        <v>3</v>
      </c>
    </row>
    <row r="17" spans="1:7" ht="17.100000000000001">
      <c r="A17" s="88">
        <v>25</v>
      </c>
      <c r="B17" s="88" t="s">
        <v>461</v>
      </c>
      <c r="C17" s="90" t="s">
        <v>477</v>
      </c>
      <c r="D17" s="89">
        <v>46116</v>
      </c>
      <c r="E17" s="88" t="s">
        <v>476</v>
      </c>
      <c r="F17" s="86">
        <v>0.25</v>
      </c>
      <c r="G17" s="86">
        <f t="shared" si="0"/>
        <v>3</v>
      </c>
    </row>
    <row r="18" spans="1:7" ht="17.100000000000001">
      <c r="A18" s="88">
        <v>26</v>
      </c>
      <c r="B18" s="88" t="s">
        <v>461</v>
      </c>
      <c r="C18" s="90" t="s">
        <v>478</v>
      </c>
      <c r="D18" s="89">
        <v>46084</v>
      </c>
      <c r="E18" s="88" t="s">
        <v>476</v>
      </c>
      <c r="F18" s="86">
        <v>0.25</v>
      </c>
      <c r="G18" s="86">
        <f t="shared" si="0"/>
        <v>3</v>
      </c>
    </row>
    <row r="19" spans="1:7" ht="17.100000000000001">
      <c r="A19" s="88">
        <v>43</v>
      </c>
      <c r="B19" s="88" t="s">
        <v>458</v>
      </c>
      <c r="C19" s="90" t="s">
        <v>166</v>
      </c>
      <c r="D19" s="89">
        <v>46079</v>
      </c>
      <c r="E19" s="88" t="s">
        <v>479</v>
      </c>
      <c r="F19" s="86">
        <v>0.5</v>
      </c>
      <c r="G19" s="86">
        <f t="shared" si="0"/>
        <v>1</v>
      </c>
    </row>
    <row r="20" spans="1:7" ht="17.100000000000001">
      <c r="A20" s="88">
        <v>2</v>
      </c>
      <c r="B20" s="88" t="s">
        <v>458</v>
      </c>
      <c r="C20" s="90" t="s">
        <v>166</v>
      </c>
      <c r="D20" s="89">
        <v>46027</v>
      </c>
      <c r="E20" s="88" t="s">
        <v>480</v>
      </c>
      <c r="F20" s="86">
        <v>0.5</v>
      </c>
      <c r="G20" s="86">
        <f t="shared" si="0"/>
        <v>1</v>
      </c>
    </row>
    <row r="21" spans="1:7" ht="17.100000000000001">
      <c r="A21" s="88">
        <v>22</v>
      </c>
      <c r="B21" s="88" t="s">
        <v>458</v>
      </c>
      <c r="C21" s="90" t="s">
        <v>481</v>
      </c>
      <c r="D21" s="89">
        <v>45967</v>
      </c>
      <c r="E21" s="88" t="s">
        <v>482</v>
      </c>
      <c r="F21" s="86">
        <v>0.5</v>
      </c>
      <c r="G21" s="86">
        <f t="shared" si="0"/>
        <v>2</v>
      </c>
    </row>
    <row r="22" spans="1:7" ht="17.100000000000001">
      <c r="A22" s="88">
        <v>23</v>
      </c>
      <c r="B22" s="88" t="s">
        <v>458</v>
      </c>
      <c r="C22" s="90" t="s">
        <v>69</v>
      </c>
      <c r="D22" s="89">
        <v>45775</v>
      </c>
      <c r="E22" s="88" t="s">
        <v>482</v>
      </c>
      <c r="F22" s="86">
        <v>0.5</v>
      </c>
      <c r="G22" s="86">
        <f t="shared" si="0"/>
        <v>2</v>
      </c>
    </row>
    <row r="23" spans="1:7" ht="17.100000000000001">
      <c r="A23" s="88">
        <v>28</v>
      </c>
      <c r="B23" s="88" t="s">
        <v>458</v>
      </c>
      <c r="C23" s="90" t="s">
        <v>166</v>
      </c>
      <c r="D23" s="89">
        <v>46056</v>
      </c>
      <c r="E23" s="88" t="s">
        <v>483</v>
      </c>
      <c r="F23" s="86">
        <v>0.5</v>
      </c>
      <c r="G23" s="86">
        <f t="shared" si="0"/>
        <v>1</v>
      </c>
    </row>
    <row r="24" spans="1:7" ht="17.100000000000001">
      <c r="A24" s="88">
        <v>45</v>
      </c>
      <c r="B24" s="88" t="s">
        <v>458</v>
      </c>
      <c r="C24" s="90" t="s">
        <v>166</v>
      </c>
      <c r="D24" s="89">
        <v>46022</v>
      </c>
      <c r="E24" s="88" t="s">
        <v>484</v>
      </c>
      <c r="F24" s="86">
        <v>0.5</v>
      </c>
      <c r="G24" s="86">
        <f t="shared" si="0"/>
        <v>1</v>
      </c>
    </row>
    <row r="25" spans="1:7" ht="17.100000000000001">
      <c r="A25" s="88">
        <v>15</v>
      </c>
      <c r="B25" s="88" t="s">
        <v>458</v>
      </c>
      <c r="C25" s="90" t="s">
        <v>166</v>
      </c>
      <c r="D25" s="89">
        <v>46016</v>
      </c>
      <c r="E25" s="88" t="s">
        <v>485</v>
      </c>
      <c r="F25" s="86">
        <v>0.5</v>
      </c>
      <c r="G25" s="86">
        <f t="shared" si="0"/>
        <v>1</v>
      </c>
    </row>
    <row r="26" spans="1:7" ht="17.100000000000001">
      <c r="A26" s="88">
        <v>18</v>
      </c>
      <c r="B26" s="88" t="s">
        <v>458</v>
      </c>
      <c r="C26" s="90" t="s">
        <v>166</v>
      </c>
      <c r="D26" s="89">
        <v>45981</v>
      </c>
      <c r="E26" s="88" t="s">
        <v>486</v>
      </c>
      <c r="F26" s="86">
        <v>0.5</v>
      </c>
      <c r="G26" s="86">
        <f t="shared" si="0"/>
        <v>1</v>
      </c>
    </row>
    <row r="27" spans="1:7" ht="17.100000000000001">
      <c r="A27" s="88">
        <v>49</v>
      </c>
      <c r="B27" s="88" t="s">
        <v>461</v>
      </c>
      <c r="C27" s="90" t="s">
        <v>464</v>
      </c>
      <c r="D27" s="89">
        <v>46091</v>
      </c>
      <c r="E27" s="88" t="s">
        <v>487</v>
      </c>
      <c r="F27" s="86">
        <v>0.25</v>
      </c>
      <c r="G27" s="86">
        <f t="shared" si="0"/>
        <v>1</v>
      </c>
    </row>
    <row r="28" spans="1:7" ht="17.100000000000001">
      <c r="A28" s="88">
        <v>42</v>
      </c>
      <c r="B28" s="88" t="s">
        <v>458</v>
      </c>
      <c r="C28" s="90" t="s">
        <v>166</v>
      </c>
      <c r="D28" s="89">
        <v>46026</v>
      </c>
      <c r="E28" s="88" t="s">
        <v>488</v>
      </c>
      <c r="F28" s="86">
        <v>0.5</v>
      </c>
      <c r="G28" s="86">
        <f t="shared" si="0"/>
        <v>1</v>
      </c>
    </row>
    <row r="29" spans="1:7" ht="15.95">
      <c r="A29" s="88">
        <v>1</v>
      </c>
      <c r="B29" s="88" t="s">
        <v>458</v>
      </c>
      <c r="C29" s="88" t="s">
        <v>166</v>
      </c>
      <c r="D29" s="89">
        <v>46019</v>
      </c>
      <c r="E29" s="88" t="s">
        <v>489</v>
      </c>
      <c r="F29" s="86">
        <v>0.5</v>
      </c>
      <c r="G29" s="86">
        <f t="shared" si="0"/>
        <v>1</v>
      </c>
    </row>
    <row r="30" spans="1:7" ht="17.100000000000001">
      <c r="A30" s="88">
        <v>38</v>
      </c>
      <c r="B30" s="88" t="s">
        <v>458</v>
      </c>
      <c r="C30" s="90" t="s">
        <v>36</v>
      </c>
      <c r="D30" s="89">
        <v>46081</v>
      </c>
      <c r="E30" s="88" t="s">
        <v>490</v>
      </c>
      <c r="F30" s="86">
        <v>0.5</v>
      </c>
      <c r="G30" s="86">
        <f t="shared" si="0"/>
        <v>2</v>
      </c>
    </row>
    <row r="31" spans="1:7" ht="17.100000000000001">
      <c r="A31" s="88">
        <v>39</v>
      </c>
      <c r="B31" s="88" t="s">
        <v>461</v>
      </c>
      <c r="C31" s="90" t="s">
        <v>464</v>
      </c>
      <c r="D31" s="89">
        <v>46035</v>
      </c>
      <c r="E31" s="88" t="s">
        <v>490</v>
      </c>
      <c r="F31" s="86">
        <v>0.25</v>
      </c>
      <c r="G31" s="86">
        <f t="shared" si="0"/>
        <v>2</v>
      </c>
    </row>
    <row r="32" spans="1:7" ht="17.100000000000001">
      <c r="A32" s="88">
        <v>21</v>
      </c>
      <c r="B32" s="88" t="s">
        <v>458</v>
      </c>
      <c r="C32" s="90" t="s">
        <v>166</v>
      </c>
      <c r="D32" s="89">
        <v>46016</v>
      </c>
      <c r="E32" s="88" t="s">
        <v>491</v>
      </c>
      <c r="F32" s="86">
        <v>0.5</v>
      </c>
      <c r="G32" s="86">
        <f t="shared" si="0"/>
        <v>1</v>
      </c>
    </row>
    <row r="33" spans="1:7" ht="17.100000000000001">
      <c r="A33" s="88">
        <v>20</v>
      </c>
      <c r="B33" s="88" t="s">
        <v>458</v>
      </c>
      <c r="C33" s="90" t="s">
        <v>36</v>
      </c>
      <c r="D33" s="89">
        <v>46081</v>
      </c>
      <c r="E33" s="88" t="s">
        <v>492</v>
      </c>
      <c r="F33" s="86">
        <v>0.5</v>
      </c>
      <c r="G33" s="86">
        <f t="shared" si="0"/>
        <v>1</v>
      </c>
    </row>
    <row r="34" spans="1:7" ht="17.100000000000001">
      <c r="A34" s="88">
        <v>29</v>
      </c>
      <c r="B34" s="88" t="s">
        <v>458</v>
      </c>
      <c r="C34" s="90" t="s">
        <v>166</v>
      </c>
      <c r="D34" s="89">
        <v>46020</v>
      </c>
      <c r="E34" s="88" t="s">
        <v>493</v>
      </c>
      <c r="F34" s="86">
        <v>0.5</v>
      </c>
      <c r="G34" s="86">
        <f t="shared" si="0"/>
        <v>1</v>
      </c>
    </row>
    <row r="35" spans="1:7" ht="17.100000000000001">
      <c r="A35" s="88">
        <v>59</v>
      </c>
      <c r="B35" s="88" t="s">
        <v>458</v>
      </c>
      <c r="C35" s="90" t="s">
        <v>166</v>
      </c>
      <c r="D35" s="89">
        <v>46030</v>
      </c>
      <c r="E35" s="88" t="s">
        <v>494</v>
      </c>
      <c r="F35" s="86">
        <v>0.5</v>
      </c>
      <c r="G35" s="86">
        <f t="shared" si="0"/>
        <v>1</v>
      </c>
    </row>
    <row r="36" spans="1:7" ht="17.100000000000001">
      <c r="A36" s="88">
        <v>30</v>
      </c>
      <c r="B36" s="88" t="s">
        <v>458</v>
      </c>
      <c r="C36" s="90" t="s">
        <v>166</v>
      </c>
      <c r="D36" s="89">
        <v>46021</v>
      </c>
      <c r="E36" s="88" t="s">
        <v>495</v>
      </c>
      <c r="F36" s="86">
        <v>0.5</v>
      </c>
      <c r="G36" s="86">
        <f t="shared" si="0"/>
        <v>1</v>
      </c>
    </row>
    <row r="37" spans="1:7" ht="17.100000000000001">
      <c r="A37" s="88">
        <v>34</v>
      </c>
      <c r="B37" s="88" t="s">
        <v>458</v>
      </c>
      <c r="C37" s="90" t="s">
        <v>166</v>
      </c>
      <c r="D37" s="89">
        <v>46016</v>
      </c>
      <c r="E37" s="88" t="s">
        <v>496</v>
      </c>
      <c r="F37" s="86">
        <v>0.5</v>
      </c>
      <c r="G37" s="86">
        <f t="shared" si="0"/>
        <v>1</v>
      </c>
    </row>
    <row r="38" spans="1:7" ht="17.100000000000001">
      <c r="A38" s="88">
        <v>44</v>
      </c>
      <c r="B38" s="88" t="s">
        <v>458</v>
      </c>
      <c r="C38" s="90" t="s">
        <v>166</v>
      </c>
      <c r="D38" s="89">
        <v>46027</v>
      </c>
      <c r="E38" s="88" t="s">
        <v>497</v>
      </c>
      <c r="F38" s="86">
        <v>0.5</v>
      </c>
      <c r="G38" s="86">
        <f t="shared" si="0"/>
        <v>1</v>
      </c>
    </row>
    <row r="39" spans="1:7" ht="17.100000000000001">
      <c r="A39" s="88">
        <v>12</v>
      </c>
      <c r="B39" s="88" t="s">
        <v>461</v>
      </c>
      <c r="C39" s="90" t="s">
        <v>464</v>
      </c>
      <c r="D39" s="89">
        <v>45986</v>
      </c>
      <c r="E39" s="88" t="s">
        <v>498</v>
      </c>
      <c r="F39" s="86">
        <v>0.25</v>
      </c>
      <c r="G39" s="86">
        <f t="shared" si="0"/>
        <v>1</v>
      </c>
    </row>
    <row r="40" spans="1:7" ht="17.100000000000001">
      <c r="A40" s="88">
        <v>3</v>
      </c>
      <c r="B40" s="88" t="s">
        <v>458</v>
      </c>
      <c r="C40" s="90" t="s">
        <v>166</v>
      </c>
      <c r="D40" s="89">
        <v>45979</v>
      </c>
      <c r="E40" s="88" t="s">
        <v>499</v>
      </c>
      <c r="F40" s="86">
        <v>0.5</v>
      </c>
      <c r="G40" s="86">
        <f t="shared" si="0"/>
        <v>1</v>
      </c>
    </row>
    <row r="41" spans="1:7" ht="17.100000000000001">
      <c r="A41" s="88">
        <v>55</v>
      </c>
      <c r="B41" s="88" t="s">
        <v>458</v>
      </c>
      <c r="C41" s="90" t="s">
        <v>166</v>
      </c>
      <c r="D41" s="89">
        <v>46031</v>
      </c>
      <c r="E41" s="88" t="s">
        <v>500</v>
      </c>
      <c r="F41" s="86">
        <v>0.5</v>
      </c>
      <c r="G41" s="86">
        <f t="shared" si="0"/>
        <v>1</v>
      </c>
    </row>
    <row r="42" spans="1:7" ht="17.100000000000001">
      <c r="A42" s="88">
        <v>10</v>
      </c>
      <c r="B42" s="88" t="s">
        <v>458</v>
      </c>
      <c r="C42" s="90" t="s">
        <v>166</v>
      </c>
      <c r="D42" s="89">
        <v>46019</v>
      </c>
      <c r="E42" s="88" t="s">
        <v>501</v>
      </c>
      <c r="F42" s="86">
        <v>0.5</v>
      </c>
      <c r="G42" s="86">
        <f t="shared" si="0"/>
        <v>1</v>
      </c>
    </row>
    <row r="43" spans="1:7" ht="17.100000000000001">
      <c r="A43" s="88">
        <v>24</v>
      </c>
      <c r="B43" s="88" t="s">
        <v>458</v>
      </c>
      <c r="C43" s="90" t="s">
        <v>166</v>
      </c>
      <c r="D43" s="89">
        <v>46019</v>
      </c>
      <c r="E43" s="88" t="s">
        <v>502</v>
      </c>
      <c r="F43" s="86">
        <v>0.5</v>
      </c>
      <c r="G43" s="86">
        <f t="shared" si="0"/>
        <v>1</v>
      </c>
    </row>
    <row r="44" spans="1:7" ht="17.100000000000001">
      <c r="A44" s="88">
        <v>35</v>
      </c>
      <c r="B44" s="88" t="s">
        <v>458</v>
      </c>
      <c r="C44" s="90" t="s">
        <v>166</v>
      </c>
      <c r="D44" s="89">
        <v>45984</v>
      </c>
      <c r="E44" s="88" t="s">
        <v>503</v>
      </c>
      <c r="F44" s="86">
        <v>0.5</v>
      </c>
      <c r="G44" s="86">
        <f t="shared" si="0"/>
        <v>1</v>
      </c>
    </row>
    <row r="45" spans="1:7" ht="17.100000000000001">
      <c r="A45" s="88">
        <v>58</v>
      </c>
      <c r="B45" s="88" t="s">
        <v>458</v>
      </c>
      <c r="C45" s="90" t="s">
        <v>166</v>
      </c>
      <c r="D45" s="89">
        <v>46019</v>
      </c>
      <c r="E45" s="88" t="s">
        <v>504</v>
      </c>
      <c r="F45" s="86">
        <v>0.5</v>
      </c>
      <c r="G45" s="86">
        <f t="shared" si="0"/>
        <v>1</v>
      </c>
    </row>
    <row r="46" spans="1:7" ht="17.100000000000001">
      <c r="A46" s="88">
        <v>4</v>
      </c>
      <c r="B46" s="88" t="s">
        <v>458</v>
      </c>
      <c r="C46" s="90" t="s">
        <v>166</v>
      </c>
      <c r="D46" s="89">
        <v>46019</v>
      </c>
      <c r="E46" s="88" t="s">
        <v>505</v>
      </c>
      <c r="F46" s="86">
        <v>0.5</v>
      </c>
      <c r="G46" s="86">
        <f t="shared" si="0"/>
        <v>2</v>
      </c>
    </row>
    <row r="47" spans="1:7" ht="17.100000000000001">
      <c r="A47" s="88">
        <v>5</v>
      </c>
      <c r="B47" s="88" t="s">
        <v>461</v>
      </c>
      <c r="C47" s="90" t="s">
        <v>462</v>
      </c>
      <c r="D47" s="89">
        <v>46009</v>
      </c>
      <c r="E47" s="88" t="s">
        <v>505</v>
      </c>
      <c r="F47" s="86">
        <v>0.25</v>
      </c>
      <c r="G47" s="86">
        <f t="shared" si="0"/>
        <v>2</v>
      </c>
    </row>
    <row r="48" spans="1:7" ht="17.100000000000001">
      <c r="A48" s="88">
        <v>47</v>
      </c>
      <c r="B48" s="88" t="s">
        <v>461</v>
      </c>
      <c r="C48" s="90" t="s">
        <v>506</v>
      </c>
      <c r="D48" s="89">
        <v>46078</v>
      </c>
      <c r="E48" s="88" t="s">
        <v>507</v>
      </c>
      <c r="F48" s="86">
        <v>0.25</v>
      </c>
      <c r="G48" s="86">
        <f t="shared" si="0"/>
        <v>3</v>
      </c>
    </row>
    <row r="49" spans="1:7" ht="17.100000000000001">
      <c r="A49" s="88">
        <v>36</v>
      </c>
      <c r="B49" s="88" t="s">
        <v>461</v>
      </c>
      <c r="C49" s="90" t="s">
        <v>508</v>
      </c>
      <c r="D49" s="89">
        <v>45342</v>
      </c>
      <c r="E49" s="88" t="s">
        <v>507</v>
      </c>
      <c r="F49" s="86">
        <v>0.25</v>
      </c>
      <c r="G49" s="86">
        <f t="shared" si="0"/>
        <v>3</v>
      </c>
    </row>
    <row r="50" spans="1:7" ht="17.100000000000001">
      <c r="A50" s="88">
        <v>37</v>
      </c>
      <c r="B50" s="88" t="s">
        <v>461</v>
      </c>
      <c r="C50" s="90" t="s">
        <v>462</v>
      </c>
      <c r="D50" s="89">
        <v>45357</v>
      </c>
      <c r="E50" s="88" t="s">
        <v>507</v>
      </c>
      <c r="F50" s="86">
        <v>0.25</v>
      </c>
      <c r="G50" s="86">
        <f t="shared" si="0"/>
        <v>3</v>
      </c>
    </row>
    <row r="51" spans="1:7" ht="17.100000000000001">
      <c r="A51" s="88">
        <v>16</v>
      </c>
      <c r="B51" s="88" t="s">
        <v>458</v>
      </c>
      <c r="C51" s="90" t="s">
        <v>166</v>
      </c>
      <c r="D51" s="89">
        <v>46020</v>
      </c>
      <c r="E51" s="88" t="s">
        <v>509</v>
      </c>
      <c r="F51" s="86">
        <v>0.5</v>
      </c>
      <c r="G51" s="86">
        <f t="shared" si="0"/>
        <v>1</v>
      </c>
    </row>
    <row r="52" spans="1:7" ht="17.100000000000001">
      <c r="A52" s="88">
        <v>50</v>
      </c>
      <c r="B52" s="88" t="s">
        <v>458</v>
      </c>
      <c r="C52" s="90" t="s">
        <v>166</v>
      </c>
      <c r="D52" s="89">
        <v>45985</v>
      </c>
      <c r="E52" s="88" t="s">
        <v>510</v>
      </c>
      <c r="F52" s="86">
        <v>0.5</v>
      </c>
      <c r="G52" s="86">
        <f t="shared" si="0"/>
        <v>1</v>
      </c>
    </row>
    <row r="53" spans="1:7" ht="17.100000000000001">
      <c r="A53" s="88">
        <v>6</v>
      </c>
      <c r="B53" s="88" t="s">
        <v>458</v>
      </c>
      <c r="C53" s="90" t="s">
        <v>166</v>
      </c>
      <c r="D53" s="89">
        <v>46026</v>
      </c>
      <c r="E53" s="88" t="s">
        <v>511</v>
      </c>
      <c r="F53" s="86">
        <v>0.5</v>
      </c>
      <c r="G53" s="86">
        <f t="shared" si="0"/>
        <v>1</v>
      </c>
    </row>
    <row r="54" spans="1:7" ht="17.100000000000001">
      <c r="A54" s="88">
        <v>53</v>
      </c>
      <c r="B54" s="88" t="s">
        <v>458</v>
      </c>
      <c r="C54" s="90" t="s">
        <v>36</v>
      </c>
      <c r="D54" s="89">
        <v>46083</v>
      </c>
      <c r="E54" s="88" t="s">
        <v>512</v>
      </c>
      <c r="F54" s="86">
        <v>0.5</v>
      </c>
      <c r="G54" s="86">
        <f t="shared" si="0"/>
        <v>1</v>
      </c>
    </row>
    <row r="55" spans="1:7" ht="17.100000000000001">
      <c r="A55" s="88">
        <v>19</v>
      </c>
      <c r="B55" s="88" t="s">
        <v>458</v>
      </c>
      <c r="C55" s="90" t="s">
        <v>166</v>
      </c>
      <c r="D55" s="89">
        <v>46031</v>
      </c>
      <c r="E55" s="88" t="s">
        <v>513</v>
      </c>
      <c r="F55" s="86">
        <v>0.5</v>
      </c>
      <c r="G55" s="86">
        <f t="shared" si="0"/>
        <v>1</v>
      </c>
    </row>
    <row r="56" spans="1:7" ht="17.100000000000001">
      <c r="A56" s="88">
        <v>41</v>
      </c>
      <c r="B56" s="88" t="s">
        <v>458</v>
      </c>
      <c r="C56" s="90" t="s">
        <v>481</v>
      </c>
      <c r="D56" s="89">
        <v>46009</v>
      </c>
      <c r="E56" s="88" t="s">
        <v>514</v>
      </c>
      <c r="F56" s="86">
        <v>0.5</v>
      </c>
      <c r="G56" s="86">
        <f t="shared" si="0"/>
        <v>1</v>
      </c>
    </row>
    <row r="57" spans="1:7" ht="17.100000000000001">
      <c r="A57" s="88">
        <v>52</v>
      </c>
      <c r="B57" s="88" t="s">
        <v>458</v>
      </c>
      <c r="C57" s="90" t="s">
        <v>166</v>
      </c>
      <c r="D57" s="89">
        <v>46026</v>
      </c>
      <c r="E57" s="88" t="s">
        <v>515</v>
      </c>
      <c r="F57" s="86">
        <v>0.5</v>
      </c>
      <c r="G57" s="86">
        <f t="shared" si="0"/>
        <v>1</v>
      </c>
    </row>
    <row r="58" spans="1:7" ht="17.100000000000001">
      <c r="A58" s="88">
        <v>7</v>
      </c>
      <c r="B58" s="88" t="s">
        <v>458</v>
      </c>
      <c r="C58" s="90" t="s">
        <v>166</v>
      </c>
      <c r="D58" s="89">
        <v>46020</v>
      </c>
      <c r="E58" s="88" t="s">
        <v>516</v>
      </c>
      <c r="F58" s="86">
        <v>0.5</v>
      </c>
      <c r="G58" s="86">
        <f t="shared" si="0"/>
        <v>1</v>
      </c>
    </row>
    <row r="59" spans="1:7" ht="17.100000000000001">
      <c r="A59" s="88">
        <v>54</v>
      </c>
      <c r="B59" s="88" t="s">
        <v>458</v>
      </c>
      <c r="C59" s="90" t="s">
        <v>166</v>
      </c>
      <c r="D59" s="89">
        <v>46019</v>
      </c>
      <c r="E59" s="88" t="s">
        <v>517</v>
      </c>
      <c r="F59" s="86">
        <v>0.5</v>
      </c>
      <c r="G59" s="86">
        <f t="shared" si="0"/>
        <v>1</v>
      </c>
    </row>
    <row r="60" spans="1:7" ht="17.100000000000001">
      <c r="A60" s="88">
        <v>32</v>
      </c>
      <c r="B60" s="88" t="s">
        <v>461</v>
      </c>
      <c r="C60" s="90" t="s">
        <v>508</v>
      </c>
      <c r="D60" s="89">
        <v>44969</v>
      </c>
      <c r="E60" s="88" t="s">
        <v>518</v>
      </c>
      <c r="F60" s="86">
        <v>0.25</v>
      </c>
      <c r="G60" s="86">
        <f t="shared" si="0"/>
        <v>1</v>
      </c>
    </row>
    <row r="61" spans="1:7" ht="17.100000000000001">
      <c r="A61" s="88">
        <v>31</v>
      </c>
      <c r="B61" s="88" t="s">
        <v>458</v>
      </c>
      <c r="C61" s="90" t="s">
        <v>166</v>
      </c>
      <c r="D61" s="89">
        <v>46045</v>
      </c>
      <c r="E61" s="88" t="s">
        <v>519</v>
      </c>
      <c r="F61" s="86">
        <v>0.5</v>
      </c>
      <c r="G61" s="86">
        <f t="shared" si="0"/>
        <v>1</v>
      </c>
    </row>
    <row r="62" spans="1:7" ht="15.95">
      <c r="A62" s="92"/>
      <c r="B62" s="92"/>
      <c r="C62" s="92"/>
      <c r="D62" s="92"/>
      <c r="E62" s="92"/>
    </row>
    <row r="63" spans="1:7">
      <c r="F63" s="86">
        <f>SUM(F3:F62)</f>
        <v>25.5</v>
      </c>
    </row>
  </sheetData>
  <autoFilter ref="A2:F61" xr:uid="{00000000-0001-0000-0000-000000000000}">
    <sortState xmlns:xlrd2="http://schemas.microsoft.com/office/spreadsheetml/2017/richdata2" ref="A3:F61">
      <sortCondition ref="E2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8AB7-07B9-4CFB-B653-C82B484F2096}">
  <sheetPr filterMode="1"/>
  <dimension ref="A1:D47"/>
  <sheetViews>
    <sheetView workbookViewId="0">
      <selection activeCell="A29" sqref="A29"/>
    </sheetView>
  </sheetViews>
  <sheetFormatPr defaultColWidth="8.625" defaultRowHeight="15.95"/>
  <cols>
    <col min="1" max="1" width="27.125" customWidth="1"/>
    <col min="2" max="2" width="30.625" customWidth="1"/>
    <col min="3" max="3" width="31.625" customWidth="1"/>
    <col min="4" max="5" width="47.125" customWidth="1"/>
  </cols>
  <sheetData>
    <row r="1" spans="1:4" s="11" customFormat="1">
      <c r="A1" s="11" t="s">
        <v>0</v>
      </c>
      <c r="B1" s="11" t="s">
        <v>520</v>
      </c>
      <c r="C1" s="11" t="s">
        <v>521</v>
      </c>
      <c r="D1" s="11" t="s">
        <v>522</v>
      </c>
    </row>
    <row r="2" spans="1:4" hidden="1">
      <c r="A2" s="52" t="s">
        <v>523</v>
      </c>
      <c r="B2" s="52" t="s">
        <v>524</v>
      </c>
      <c r="C2" s="53" t="s">
        <v>525</v>
      </c>
      <c r="D2" s="14"/>
    </row>
    <row r="3" spans="1:4" hidden="1">
      <c r="A3" s="52" t="s">
        <v>526</v>
      </c>
      <c r="B3" s="52" t="s">
        <v>524</v>
      </c>
      <c r="C3" s="53" t="s">
        <v>525</v>
      </c>
      <c r="D3" s="14"/>
    </row>
    <row r="4" spans="1:4" hidden="1">
      <c r="A4" s="52" t="s">
        <v>527</v>
      </c>
      <c r="B4" s="52" t="s">
        <v>524</v>
      </c>
      <c r="C4" s="53" t="s">
        <v>525</v>
      </c>
      <c r="D4" s="14"/>
    </row>
    <row r="5" spans="1:4" hidden="1">
      <c r="A5" s="103" t="s">
        <v>528</v>
      </c>
      <c r="B5" s="52" t="s">
        <v>524</v>
      </c>
      <c r="C5" s="53" t="s">
        <v>525</v>
      </c>
      <c r="D5" s="14"/>
    </row>
    <row r="6" spans="1:4" hidden="1">
      <c r="A6" s="54" t="s">
        <v>529</v>
      </c>
      <c r="B6" s="52" t="s">
        <v>524</v>
      </c>
      <c r="C6" s="53" t="s">
        <v>525</v>
      </c>
      <c r="D6" s="14"/>
    </row>
    <row r="7" spans="1:4" hidden="1">
      <c r="A7" s="54" t="s">
        <v>530</v>
      </c>
      <c r="B7" s="52" t="s">
        <v>524</v>
      </c>
      <c r="C7" s="53" t="s">
        <v>525</v>
      </c>
      <c r="D7" s="14"/>
    </row>
    <row r="8" spans="1:4" hidden="1">
      <c r="A8" s="54" t="s">
        <v>531</v>
      </c>
      <c r="B8" s="52" t="s">
        <v>524</v>
      </c>
      <c r="C8" s="53" t="s">
        <v>525</v>
      </c>
      <c r="D8" s="14"/>
    </row>
    <row r="9" spans="1:4" hidden="1">
      <c r="A9" s="52" t="s">
        <v>532</v>
      </c>
      <c r="B9" s="52" t="s">
        <v>533</v>
      </c>
      <c r="C9" s="53" t="s">
        <v>33</v>
      </c>
      <c r="D9" s="14" t="s">
        <v>534</v>
      </c>
    </row>
    <row r="10" spans="1:4" hidden="1">
      <c r="A10" s="52" t="s">
        <v>340</v>
      </c>
      <c r="B10" s="52" t="s">
        <v>533</v>
      </c>
      <c r="C10" s="53" t="s">
        <v>33</v>
      </c>
      <c r="D10" s="14" t="s">
        <v>534</v>
      </c>
    </row>
    <row r="11" spans="1:4" hidden="1">
      <c r="A11" s="52" t="s">
        <v>246</v>
      </c>
      <c r="B11" s="52" t="s">
        <v>533</v>
      </c>
      <c r="C11" s="53" t="s">
        <v>33</v>
      </c>
      <c r="D11" s="14" t="s">
        <v>534</v>
      </c>
    </row>
    <row r="12" spans="1:4" hidden="1">
      <c r="A12" s="52" t="s">
        <v>328</v>
      </c>
      <c r="B12" s="52" t="s">
        <v>533</v>
      </c>
      <c r="C12" s="53" t="s">
        <v>33</v>
      </c>
      <c r="D12" s="14" t="s">
        <v>534</v>
      </c>
    </row>
    <row r="13" spans="1:4">
      <c r="A13" s="69" t="s">
        <v>361</v>
      </c>
      <c r="B13" s="52" t="s">
        <v>535</v>
      </c>
      <c r="C13" s="53" t="s">
        <v>33</v>
      </c>
      <c r="D13" s="14"/>
    </row>
    <row r="14" spans="1:4">
      <c r="A14" s="52" t="s">
        <v>372</v>
      </c>
      <c r="B14" s="52" t="s">
        <v>535</v>
      </c>
      <c r="C14" s="53" t="s">
        <v>33</v>
      </c>
      <c r="D14" s="14" t="s">
        <v>536</v>
      </c>
    </row>
    <row r="15" spans="1:4" hidden="1">
      <c r="A15" s="52" t="s">
        <v>291</v>
      </c>
      <c r="B15" s="52" t="s">
        <v>537</v>
      </c>
      <c r="C15" s="53" t="s">
        <v>33</v>
      </c>
      <c r="D15" s="14" t="s">
        <v>538</v>
      </c>
    </row>
    <row r="16" spans="1:4">
      <c r="A16" s="52" t="s">
        <v>374</v>
      </c>
      <c r="B16" s="52" t="s">
        <v>533</v>
      </c>
      <c r="C16" s="53" t="s">
        <v>33</v>
      </c>
      <c r="D16" s="14"/>
    </row>
    <row r="17" spans="1:4">
      <c r="A17" s="103" t="s">
        <v>376</v>
      </c>
      <c r="B17" s="52" t="s">
        <v>533</v>
      </c>
      <c r="C17" s="53" t="s">
        <v>33</v>
      </c>
      <c r="D17" s="14" t="s">
        <v>539</v>
      </c>
    </row>
    <row r="18" spans="1:4">
      <c r="A18" s="54" t="s">
        <v>378</v>
      </c>
      <c r="B18" s="54" t="s">
        <v>540</v>
      </c>
      <c r="C18" s="53" t="s">
        <v>33</v>
      </c>
      <c r="D18" s="14" t="s">
        <v>541</v>
      </c>
    </row>
    <row r="19" spans="1:4" hidden="1">
      <c r="A19" s="54" t="s">
        <v>370</v>
      </c>
      <c r="B19" s="54" t="s">
        <v>540</v>
      </c>
      <c r="C19" s="53" t="s">
        <v>33</v>
      </c>
      <c r="D19" s="14" t="s">
        <v>534</v>
      </c>
    </row>
    <row r="20" spans="1:4">
      <c r="A20" s="54" t="s">
        <v>380</v>
      </c>
      <c r="B20" s="54" t="s">
        <v>540</v>
      </c>
      <c r="C20" s="53" t="s">
        <v>33</v>
      </c>
      <c r="D20" s="14" t="s">
        <v>541</v>
      </c>
    </row>
    <row r="21" spans="1:4">
      <c r="A21" s="54" t="s">
        <v>382</v>
      </c>
      <c r="B21" s="54" t="s">
        <v>542</v>
      </c>
      <c r="C21" s="53" t="s">
        <v>33</v>
      </c>
      <c r="D21" s="14" t="s">
        <v>543</v>
      </c>
    </row>
    <row r="22" spans="1:4">
      <c r="A22" s="54" t="s">
        <v>384</v>
      </c>
      <c r="B22" s="54" t="s">
        <v>533</v>
      </c>
      <c r="C22" s="53" t="s">
        <v>33</v>
      </c>
      <c r="D22" s="14" t="s">
        <v>536</v>
      </c>
    </row>
    <row r="23" spans="1:4" hidden="1">
      <c r="A23" s="54" t="s">
        <v>530</v>
      </c>
      <c r="B23" s="52" t="s">
        <v>524</v>
      </c>
      <c r="C23" s="53" t="s">
        <v>525</v>
      </c>
      <c r="D23" s="14"/>
    </row>
    <row r="24" spans="1:4" ht="17.100000000000001">
      <c r="A24" s="104" t="s">
        <v>386</v>
      </c>
      <c r="B24" s="55" t="s">
        <v>544</v>
      </c>
      <c r="C24" s="56" t="s">
        <v>545</v>
      </c>
      <c r="D24" s="14"/>
    </row>
    <row r="25" spans="1:4" ht="17.100000000000001">
      <c r="A25" s="104" t="s">
        <v>388</v>
      </c>
      <c r="B25" s="55" t="s">
        <v>544</v>
      </c>
      <c r="C25" s="56" t="s">
        <v>545</v>
      </c>
      <c r="D25" s="14"/>
    </row>
    <row r="26" spans="1:4" ht="17.100000000000001">
      <c r="A26" s="104" t="s">
        <v>390</v>
      </c>
      <c r="B26" s="55" t="s">
        <v>544</v>
      </c>
      <c r="C26" s="56" t="s">
        <v>545</v>
      </c>
      <c r="D26" s="14"/>
    </row>
    <row r="27" spans="1:4" ht="17.100000000000001" hidden="1">
      <c r="A27" s="104" t="s">
        <v>316</v>
      </c>
      <c r="B27" s="55" t="s">
        <v>533</v>
      </c>
      <c r="C27" s="53" t="s">
        <v>33</v>
      </c>
      <c r="D27" s="14" t="s">
        <v>534</v>
      </c>
    </row>
    <row r="28" spans="1:4" ht="17.100000000000001" hidden="1">
      <c r="A28" s="104" t="s">
        <v>333</v>
      </c>
      <c r="B28" s="55" t="s">
        <v>537</v>
      </c>
      <c r="C28" s="53" t="s">
        <v>33</v>
      </c>
      <c r="D28" s="14" t="s">
        <v>534</v>
      </c>
    </row>
    <row r="29" spans="1:4">
      <c r="A29" s="52" t="s">
        <v>546</v>
      </c>
      <c r="B29" s="52" t="s">
        <v>547</v>
      </c>
      <c r="C29" s="53" t="s">
        <v>33</v>
      </c>
      <c r="D29" s="14" t="s">
        <v>548</v>
      </c>
    </row>
    <row r="30" spans="1:4" hidden="1">
      <c r="A30" s="52" t="s">
        <v>345</v>
      </c>
      <c r="B30" s="52" t="s">
        <v>547</v>
      </c>
      <c r="C30" s="53" t="s">
        <v>33</v>
      </c>
      <c r="D30" s="14" t="s">
        <v>534</v>
      </c>
    </row>
    <row r="31" spans="1:4" hidden="1">
      <c r="A31" s="52" t="s">
        <v>549</v>
      </c>
      <c r="B31" s="57" t="s">
        <v>550</v>
      </c>
      <c r="C31" s="53" t="s">
        <v>33</v>
      </c>
      <c r="D31" s="14" t="s">
        <v>534</v>
      </c>
    </row>
    <row r="32" spans="1:4" hidden="1">
      <c r="A32" s="52" t="s">
        <v>551</v>
      </c>
      <c r="B32" s="52" t="s">
        <v>547</v>
      </c>
      <c r="C32" s="53" t="s">
        <v>33</v>
      </c>
      <c r="D32" s="14" t="s">
        <v>534</v>
      </c>
    </row>
    <row r="33" spans="1:4">
      <c r="A33" s="57" t="s">
        <v>394</v>
      </c>
      <c r="B33" s="57" t="s">
        <v>550</v>
      </c>
      <c r="C33" s="53" t="s">
        <v>33</v>
      </c>
      <c r="D33" s="14"/>
    </row>
    <row r="34" spans="1:4">
      <c r="A34" s="57" t="s">
        <v>396</v>
      </c>
      <c r="B34" s="57" t="s">
        <v>552</v>
      </c>
      <c r="C34" s="53" t="s">
        <v>33</v>
      </c>
      <c r="D34" s="14"/>
    </row>
    <row r="35" spans="1:4" hidden="1">
      <c r="A35" s="57" t="s">
        <v>257</v>
      </c>
      <c r="B35" s="52" t="s">
        <v>547</v>
      </c>
      <c r="C35" s="53" t="s">
        <v>33</v>
      </c>
      <c r="D35" s="14" t="s">
        <v>534</v>
      </c>
    </row>
    <row r="36" spans="1:4">
      <c r="A36" s="57" t="s">
        <v>398</v>
      </c>
      <c r="B36" s="57" t="s">
        <v>552</v>
      </c>
      <c r="C36" s="53" t="s">
        <v>33</v>
      </c>
      <c r="D36" s="14" t="s">
        <v>539</v>
      </c>
    </row>
    <row r="37" spans="1:4" hidden="1">
      <c r="A37" s="105" t="s">
        <v>322</v>
      </c>
      <c r="B37" s="52" t="s">
        <v>547</v>
      </c>
      <c r="C37" s="53" t="s">
        <v>33</v>
      </c>
      <c r="D37" s="14" t="s">
        <v>534</v>
      </c>
    </row>
    <row r="38" spans="1:4" hidden="1">
      <c r="A38" s="105" t="s">
        <v>236</v>
      </c>
      <c r="B38" s="52" t="s">
        <v>547</v>
      </c>
      <c r="C38" s="53" t="s">
        <v>33</v>
      </c>
      <c r="D38" s="14" t="s">
        <v>534</v>
      </c>
    </row>
    <row r="39" spans="1:4" hidden="1">
      <c r="A39" s="105" t="s">
        <v>31</v>
      </c>
      <c r="B39" s="57" t="s">
        <v>552</v>
      </c>
      <c r="C39" s="53" t="s">
        <v>33</v>
      </c>
      <c r="D39" s="14" t="s">
        <v>534</v>
      </c>
    </row>
    <row r="40" spans="1:4" hidden="1">
      <c r="A40" s="105" t="s">
        <v>206</v>
      </c>
      <c r="B40" s="57" t="s">
        <v>553</v>
      </c>
      <c r="C40" s="53" t="s">
        <v>33</v>
      </c>
      <c r="D40" s="14" t="s">
        <v>534</v>
      </c>
    </row>
    <row r="41" spans="1:4" hidden="1">
      <c r="A41" s="103" t="s">
        <v>554</v>
      </c>
      <c r="B41" s="52" t="s">
        <v>547</v>
      </c>
      <c r="C41" s="53" t="s">
        <v>33</v>
      </c>
      <c r="D41" s="14" t="s">
        <v>534</v>
      </c>
    </row>
    <row r="42" spans="1:4" hidden="1">
      <c r="A42" s="103" t="s">
        <v>338</v>
      </c>
      <c r="B42" s="52" t="s">
        <v>547</v>
      </c>
      <c r="C42" s="53" t="s">
        <v>33</v>
      </c>
      <c r="D42" s="14" t="s">
        <v>534</v>
      </c>
    </row>
    <row r="43" spans="1:4">
      <c r="A43" s="102" t="s">
        <v>400</v>
      </c>
      <c r="B43" s="58" t="s">
        <v>555</v>
      </c>
      <c r="C43" s="53" t="s">
        <v>33</v>
      </c>
      <c r="D43" s="14" t="s">
        <v>543</v>
      </c>
    </row>
    <row r="44" spans="1:4" hidden="1">
      <c r="A44" s="102" t="s">
        <v>556</v>
      </c>
      <c r="B44" s="57" t="s">
        <v>557</v>
      </c>
      <c r="C44" s="53" t="s">
        <v>33</v>
      </c>
      <c r="D44" s="14"/>
    </row>
    <row r="45" spans="1:4">
      <c r="A45" s="102" t="s">
        <v>402</v>
      </c>
      <c r="B45" s="54" t="s">
        <v>558</v>
      </c>
      <c r="C45" s="53" t="s">
        <v>33</v>
      </c>
      <c r="D45" s="14" t="s">
        <v>559</v>
      </c>
    </row>
    <row r="46" spans="1:4" hidden="1">
      <c r="A46" s="102" t="s">
        <v>145</v>
      </c>
      <c r="B46" s="58" t="s">
        <v>555</v>
      </c>
      <c r="C46" s="53" t="s">
        <v>33</v>
      </c>
      <c r="D46" s="14" t="s">
        <v>534</v>
      </c>
    </row>
    <row r="47" spans="1:4">
      <c r="A47" s="70" t="s">
        <v>302</v>
      </c>
      <c r="B47" s="57" t="s">
        <v>552</v>
      </c>
      <c r="C47" s="53" t="s">
        <v>33</v>
      </c>
    </row>
  </sheetData>
  <autoFilter ref="A1:E47" xr:uid="{ADF78AB7-07B9-4CFB-B653-C82B484F2096}">
    <filterColumn colId="1">
      <filters>
        <filter val="AI/ML Engineer"/>
        <filter val="Application Developer"/>
        <filter val="Cloud &amp; DevOps Engineer"/>
        <filter val="Cloud Engineer"/>
        <filter val="DataBase Engineer"/>
        <filter val="Platform Engineer"/>
        <filter val="Project Management Office"/>
        <filter val="Software Developer"/>
        <filter val="Software Developer Engineer"/>
      </filters>
    </filterColumn>
    <filterColumn colId="3">
      <filters blank="1">
        <filter val="Schedule"/>
        <filter val="Schedule on 28th"/>
        <filter val="Schedule on 30th"/>
        <filter val="Schedule on 3rd jan"/>
        <filter val="Schedule on 4th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29DB-787E-5C4A-B688-033FB7632762}">
  <dimension ref="A1:G2"/>
  <sheetViews>
    <sheetView workbookViewId="0">
      <selection activeCell="D9" sqref="D9"/>
    </sheetView>
  </sheetViews>
  <sheetFormatPr defaultColWidth="8.625" defaultRowHeight="15.95"/>
  <cols>
    <col min="1" max="1" width="11.125" bestFit="1" customWidth="1"/>
    <col min="2" max="2" width="23.625" bestFit="1" customWidth="1"/>
    <col min="3" max="3" width="10" bestFit="1" customWidth="1"/>
    <col min="4" max="4" width="43.625" customWidth="1"/>
    <col min="5" max="5" width="9.625" bestFit="1" customWidth="1"/>
    <col min="6" max="7" width="20" bestFit="1" customWidth="1"/>
  </cols>
  <sheetData>
    <row r="1" spans="1:7">
      <c r="A1" s="5" t="s">
        <v>560</v>
      </c>
      <c r="B1" s="5" t="s">
        <v>1</v>
      </c>
      <c r="C1" s="6" t="s">
        <v>2</v>
      </c>
      <c r="D1" s="5" t="s">
        <v>3</v>
      </c>
      <c r="E1" s="5" t="s">
        <v>4</v>
      </c>
      <c r="F1" s="11" t="s">
        <v>5</v>
      </c>
      <c r="G1" s="11" t="s">
        <v>6</v>
      </c>
    </row>
    <row r="2" spans="1:7">
      <c r="A2" s="2" t="s">
        <v>196</v>
      </c>
      <c r="B2" s="4" t="s">
        <v>197</v>
      </c>
      <c r="C2" s="3" t="s">
        <v>2</v>
      </c>
      <c r="D2" s="2" t="s">
        <v>561</v>
      </c>
      <c r="E2" s="2"/>
      <c r="F2" t="s">
        <v>182</v>
      </c>
      <c r="G2" t="s">
        <v>182</v>
      </c>
    </row>
  </sheetData>
  <hyperlinks>
    <hyperlink ref="B2" r:id="rId1" xr:uid="{31D72BD4-C341-3E4B-B699-80C098E4040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C0F352-6210-124A-A7CC-43A92402341B}">
          <x14:formula1>
            <xm:f>Sheet2!$A$8:$A$10</xm:f>
          </x14:formula1>
          <xm:sqref>C1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A274-A5FE-5741-BFEB-CC726B673222}">
  <dimension ref="A1"/>
  <sheetViews>
    <sheetView workbookViewId="0"/>
  </sheetViews>
  <sheetFormatPr defaultColWidth="11" defaultRowHeight="15.9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B2DB-7934-D140-8ED5-1720244BD888}">
  <dimension ref="A8:A22"/>
  <sheetViews>
    <sheetView workbookViewId="0">
      <selection activeCell="A26" sqref="A26"/>
    </sheetView>
  </sheetViews>
  <sheetFormatPr defaultColWidth="11" defaultRowHeight="15.95"/>
  <cols>
    <col min="1" max="1" width="92" customWidth="1"/>
  </cols>
  <sheetData>
    <row r="8" spans="1:1">
      <c r="A8" t="s">
        <v>562</v>
      </c>
    </row>
    <row r="9" spans="1:1">
      <c r="A9" t="s">
        <v>23</v>
      </c>
    </row>
    <row r="10" spans="1:1">
      <c r="A10" t="s">
        <v>2</v>
      </c>
    </row>
    <row r="16" spans="1:1">
      <c r="A16" t="s">
        <v>17</v>
      </c>
    </row>
    <row r="17" spans="1:1">
      <c r="A17" t="s">
        <v>69</v>
      </c>
    </row>
    <row r="18" spans="1:1">
      <c r="A18" t="s">
        <v>27</v>
      </c>
    </row>
    <row r="19" spans="1:1">
      <c r="A19" t="s">
        <v>332</v>
      </c>
    </row>
    <row r="20" spans="1:1">
      <c r="A20" t="s">
        <v>563</v>
      </c>
    </row>
    <row r="21" spans="1:1">
      <c r="A21" t="s">
        <v>36</v>
      </c>
    </row>
    <row r="22" spans="1:1">
      <c r="A22" t="s">
        <v>564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1CCE-D741-4B59-8C05-6FF9AFB81E05}">
  <dimension ref="A1:B13"/>
  <sheetViews>
    <sheetView workbookViewId="0">
      <selection activeCell="A13" sqref="A13"/>
    </sheetView>
  </sheetViews>
  <sheetFormatPr defaultColWidth="8.625" defaultRowHeight="15.95"/>
  <cols>
    <col min="1" max="1" width="39.125" customWidth="1"/>
    <col min="2" max="2" width="36.625" customWidth="1"/>
  </cols>
  <sheetData>
    <row r="1" spans="1:2">
      <c r="A1" s="14" t="s">
        <v>565</v>
      </c>
      <c r="B1" t="s">
        <v>566</v>
      </c>
    </row>
    <row r="2" spans="1:2">
      <c r="A2" s="13" t="s">
        <v>567</v>
      </c>
    </row>
    <row r="3" spans="1:2">
      <c r="A3" s="13" t="s">
        <v>567</v>
      </c>
    </row>
    <row r="4" spans="1:2">
      <c r="A4" s="13" t="s">
        <v>567</v>
      </c>
    </row>
    <row r="5" spans="1:2">
      <c r="A5" s="13"/>
    </row>
    <row r="6" spans="1:2">
      <c r="A6" s="13"/>
    </row>
    <row r="7" spans="1:2">
      <c r="A7" s="13"/>
    </row>
    <row r="8" spans="1:2">
      <c r="A8" s="13"/>
    </row>
    <row r="9" spans="1:2">
      <c r="A9" s="13"/>
    </row>
    <row r="10" spans="1:2">
      <c r="A10" s="13"/>
    </row>
    <row r="11" spans="1:2">
      <c r="A11" s="13"/>
    </row>
    <row r="12" spans="1:2">
      <c r="A12" s="13"/>
    </row>
    <row r="13" spans="1:2">
      <c r="A13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878884FB203E41947813B8D8642397" ma:contentTypeVersion="17" ma:contentTypeDescription="Create a new document." ma:contentTypeScope="" ma:versionID="75daec9ea6290344e09fb013068a79eb">
  <xsd:schema xmlns:xsd="http://www.w3.org/2001/XMLSchema" xmlns:xs="http://www.w3.org/2001/XMLSchema" xmlns:p="http://schemas.microsoft.com/office/2006/metadata/properties" xmlns:ns1="http://schemas.microsoft.com/sharepoint/v3" xmlns:ns2="b5611f1c-c949-4a41-b1fd-b2cc841846eb" xmlns:ns3="90d43a6d-b31a-472d-9f10-6bc06183fa78" targetNamespace="http://schemas.microsoft.com/office/2006/metadata/properties" ma:root="true" ma:fieldsID="6256ae09d99d8e2cb59a451b81010f60" ns1:_="" ns2:_="" ns3:_="">
    <xsd:import namespace="http://schemas.microsoft.com/sharepoint/v3"/>
    <xsd:import namespace="b5611f1c-c949-4a41-b1fd-b2cc841846eb"/>
    <xsd:import namespace="90d43a6d-b31a-472d-9f10-6bc06183fa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11f1c-c949-4a41-b1fd-b2cc841846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f81363-0cfe-4ded-8af1-7eee20d0de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4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43a6d-b31a-472d-9f10-6bc06183fa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6214c02-e9f6-4a12-a8fb-38f301381f65}" ma:internalName="TaxCatchAll" ma:showField="CatchAllData" ma:web="90d43a6d-b31a-472d-9f10-6bc06183fa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11f1c-c949-4a41-b1fd-b2cc841846eb">
      <Terms xmlns="http://schemas.microsoft.com/office/infopath/2007/PartnerControls"/>
    </lcf76f155ced4ddcb4097134ff3c332f>
    <TaxCatchAll xmlns="90d43a6d-b31a-472d-9f10-6bc06183fa78" xsi:nil="true"/>
    <_ip_UnifiedCompliancePolicyUIAction xmlns="http://schemas.microsoft.com/sharepoint/v3" xsi:nil="true"/>
    <_ip_UnifiedCompliancePolicyProperties xmlns="http://schemas.microsoft.com/sharepoint/v3" xsi:nil="true"/>
    <Comments xmlns="b5611f1c-c949-4a41-b1fd-b2cc841846e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11E9C9-C627-4CF2-A180-EFA5839AD4C5}"/>
</file>

<file path=customXml/itemProps2.xml><?xml version="1.0" encoding="utf-8"?>
<ds:datastoreItem xmlns:ds="http://schemas.openxmlformats.org/officeDocument/2006/customXml" ds:itemID="{D445FBFA-AAF3-45C6-A3E7-7B753FC16FDF}"/>
</file>

<file path=customXml/itemProps3.xml><?xml version="1.0" encoding="utf-8"?>
<ds:datastoreItem xmlns:ds="http://schemas.openxmlformats.org/officeDocument/2006/customXml" ds:itemID="{F1579B21-2D33-4344-AFA5-CF4F3E7C89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Jalan, Piyush</dc:creator>
  <cp:keywords/>
  <dc:description/>
  <cp:lastModifiedBy/>
  <cp:revision/>
  <dcterms:created xsi:type="dcterms:W3CDTF">2025-03-17T10:18:08Z</dcterms:created>
  <dcterms:modified xsi:type="dcterms:W3CDTF">2026-09-16T06:37:39Z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0x010100A9878884FB203E41947813B8D8642397</vt:lpwstr>
  </property>
  <property fmtid="{D5CDD505-2E9C-101B-9397-08002B2CF9AE}" pid="3" name="MediaServiceImageTags">
    <vt:lpwstr/>
  </property>
</Properties>
</file>